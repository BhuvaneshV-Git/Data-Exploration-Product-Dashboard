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58f905ade0c4dd8/Parkavi/"/>
    </mc:Choice>
  </mc:AlternateContent>
  <xr:revisionPtr revIDLastSave="286" documentId="11_7DEC4A4B244DC06AA221B6166CDC32DECF3741A9" xr6:coauthVersionLast="47" xr6:coauthVersionMax="47" xr10:uidLastSave="{A41B5073-A70B-481C-883E-228F2D3FF1A6}"/>
  <bookViews>
    <workbookView xWindow="-108" yWindow="-108" windowWidth="23256" windowHeight="12456" activeTab="1" xr2:uid="{00000000-000D-0000-FFFF-FFFF00000000}"/>
  </bookViews>
  <sheets>
    <sheet name="Sample data set" sheetId="1" r:id="rId1"/>
    <sheet name="Summary_ student marks" sheetId="2" r:id="rId2"/>
  </sheets>
  <definedNames>
    <definedName name="Z_2253786C_9E77_4871_B225_90EE90B04701_.wvu.FilterData" localSheetId="0" hidden="1">'Sample data set'!$A$1:$I$16</definedName>
  </definedNames>
  <calcPr calcId="191029"/>
  <customWorkbookViews>
    <customWorkbookView name="Table1 filter view" guid="{2253786C-9E77-4871-B225-90EE90B0470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C6SKLLHEp6C3jDIJXyekJIehZdHxR+QLe+QDKFyIXU="/>
    </ext>
  </extLst>
</workbook>
</file>

<file path=xl/calcChain.xml><?xml version="1.0" encoding="utf-8"?>
<calcChain xmlns="http://schemas.openxmlformats.org/spreadsheetml/2006/main">
  <c r="B20" i="2" l="1"/>
  <c r="E28" i="2"/>
  <c r="E27" i="2"/>
  <c r="E26" i="2"/>
  <c r="E25" i="2"/>
  <c r="E3" i="2"/>
  <c r="C2" i="2"/>
  <c r="D2" i="2" s="1"/>
  <c r="E2" i="2" s="1"/>
  <c r="C3" i="2"/>
  <c r="D3" i="2" s="1"/>
  <c r="C4" i="2"/>
  <c r="D4" i="2" s="1"/>
  <c r="E4" i="2" s="1"/>
  <c r="C5" i="2"/>
  <c r="D5" i="2" s="1"/>
  <c r="E5" i="2" s="1"/>
  <c r="C6" i="2"/>
  <c r="D6" i="2" s="1"/>
  <c r="E6" i="2" s="1"/>
  <c r="C7" i="2"/>
  <c r="D7" i="2" s="1"/>
  <c r="E7" i="2" s="1"/>
  <c r="C8" i="2"/>
  <c r="D8" i="2" s="1"/>
  <c r="E8" i="2" s="1"/>
  <c r="C9" i="2"/>
  <c r="D9" i="2" s="1"/>
  <c r="E9" i="2" s="1"/>
  <c r="C10" i="2"/>
  <c r="D10" i="2" s="1"/>
  <c r="E10" i="2" s="1"/>
  <c r="C11" i="2"/>
  <c r="D11" i="2" s="1"/>
  <c r="E11" i="2" s="1"/>
  <c r="C12" i="2"/>
  <c r="D12" i="2" s="1"/>
  <c r="E12" i="2" s="1"/>
  <c r="C13" i="2"/>
  <c r="D13" i="2" s="1"/>
  <c r="E13" i="2" s="1"/>
  <c r="C14" i="2"/>
  <c r="D14" i="2" s="1"/>
  <c r="E14" i="2" s="1"/>
  <c r="C15" i="2"/>
  <c r="D15" i="2" s="1"/>
  <c r="E15" i="2" s="1"/>
  <c r="C16" i="2"/>
  <c r="D16" i="2" s="1"/>
  <c r="E16" i="2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B27" i="2"/>
  <c r="B26" i="2"/>
  <c r="B25" i="2"/>
  <c r="E22" i="2"/>
  <c r="E21" i="2"/>
  <c r="E20" i="2"/>
  <c r="H20" i="2"/>
  <c r="H21" i="2"/>
  <c r="H28" i="2"/>
  <c r="H27" i="2"/>
  <c r="H26" i="2" l="1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M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B24" i="2"/>
  <c r="B23" i="2"/>
  <c r="B22" i="2"/>
  <c r="B21" i="2"/>
</calcChain>
</file>

<file path=xl/sharedStrings.xml><?xml version="1.0" encoding="utf-8"?>
<sst xmlns="http://schemas.openxmlformats.org/spreadsheetml/2006/main" count="205" uniqueCount="73">
  <si>
    <t>Student_ID</t>
  </si>
  <si>
    <t>Name</t>
  </si>
  <si>
    <t>Gender</t>
  </si>
  <si>
    <t>Department</t>
  </si>
  <si>
    <t>City</t>
  </si>
  <si>
    <t>Maths</t>
  </si>
  <si>
    <t>Science</t>
  </si>
  <si>
    <t>English</t>
  </si>
  <si>
    <t>Attendance</t>
  </si>
  <si>
    <t>S001</t>
  </si>
  <si>
    <t>Arun Kumar</t>
  </si>
  <si>
    <t>Male</t>
  </si>
  <si>
    <t>CSE</t>
  </si>
  <si>
    <t>Chennai</t>
  </si>
  <si>
    <t>S002</t>
  </si>
  <si>
    <t>Priya Sharma</t>
  </si>
  <si>
    <t>Female</t>
  </si>
  <si>
    <t>IT</t>
  </si>
  <si>
    <t>Bangalore</t>
  </si>
  <si>
    <t>S003</t>
  </si>
  <si>
    <t>Rahul Verma</t>
  </si>
  <si>
    <t>S004</t>
  </si>
  <si>
    <t>Divya Raj</t>
  </si>
  <si>
    <t>ECE</t>
  </si>
  <si>
    <t>Coimbatore</t>
  </si>
  <si>
    <t>S005</t>
  </si>
  <si>
    <t>Karthik Kumar</t>
  </si>
  <si>
    <t>S006</t>
  </si>
  <si>
    <t>Anitha Devi</t>
  </si>
  <si>
    <t>Madurai</t>
  </si>
  <si>
    <t>S007</t>
  </si>
  <si>
    <t>Sanjay Kumar</t>
  </si>
  <si>
    <t>S008</t>
  </si>
  <si>
    <t>Meena Priya</t>
  </si>
  <si>
    <t>S009</t>
  </si>
  <si>
    <t>Vignesh Raj</t>
  </si>
  <si>
    <t>S010</t>
  </si>
  <si>
    <t>Swetha Kumar</t>
  </si>
  <si>
    <t>S011</t>
  </si>
  <si>
    <t>Aravind Kumar</t>
  </si>
  <si>
    <t>S012</t>
  </si>
  <si>
    <t>Nandhini Devi</t>
  </si>
  <si>
    <t>S013</t>
  </si>
  <si>
    <t>Manoj Kumar</t>
  </si>
  <si>
    <t>S014</t>
  </si>
  <si>
    <t>Keerthana Raj</t>
  </si>
  <si>
    <t>S015</t>
  </si>
  <si>
    <t>Suresh Babu</t>
  </si>
  <si>
    <t>Total Maths marks</t>
  </si>
  <si>
    <t>Highest Science mark</t>
  </si>
  <si>
    <t> Lowest English mark</t>
  </si>
  <si>
    <t>No. of students</t>
  </si>
  <si>
    <t>Tasks</t>
  </si>
  <si>
    <t>Result</t>
  </si>
  <si>
    <t>Average Attendance</t>
  </si>
  <si>
    <t>Status of Maths</t>
  </si>
  <si>
    <t>Status of Attendance</t>
  </si>
  <si>
    <t>Eligible status of English</t>
  </si>
  <si>
    <t>Total Attendance</t>
  </si>
  <si>
    <t>MALE</t>
  </si>
  <si>
    <t>FEMALE</t>
  </si>
  <si>
    <t>No. of students department-wise</t>
  </si>
  <si>
    <t>No. of students city-wise</t>
  </si>
  <si>
    <t>Students with Attendance &gt; 90</t>
  </si>
  <si>
    <t>Avg. Maths marks of Female</t>
  </si>
  <si>
    <t>Avg Science marks of IT dept</t>
  </si>
  <si>
    <t>First 5 char</t>
  </si>
  <si>
    <t>Last 5 char</t>
  </si>
  <si>
    <t>MID 4 char</t>
  </si>
  <si>
    <t>Upper case</t>
  </si>
  <si>
    <t>Lower case</t>
  </si>
  <si>
    <t>Proper name</t>
  </si>
  <si>
    <t xml:space="preserve">Total  maths 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</si>
</sst>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6"/>
      <color rgb="FF980000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wrapText="1"/>
    </xf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0" xfId="0" applyFill="1"/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6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4" xr9:uid="{00000000-0011-0000-FFFF-FFFF00000000}">
      <tableStyleElement type="wholeTable" size="0" dxfId="24"/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6" totalsRowShown="0">
  <tableColumns count="9">
    <tableColumn id="1" xr3:uid="{00000000-0010-0000-0000-000001000000}" name="Student_ID"/>
    <tableColumn id="2" xr3:uid="{00000000-0010-0000-0000-000002000000}" name="Name"/>
    <tableColumn id="3" xr3:uid="{00000000-0010-0000-0000-000003000000}" name="Gender"/>
    <tableColumn id="4" xr3:uid="{00000000-0010-0000-0000-000004000000}" name="Department"/>
    <tableColumn id="5" xr3:uid="{00000000-0010-0000-0000-000005000000}" name="City"/>
    <tableColumn id="6" xr3:uid="{00000000-0010-0000-0000-000006000000}" name="Maths"/>
    <tableColumn id="7" xr3:uid="{00000000-0010-0000-0000-000007000000}" name="Science"/>
    <tableColumn id="8" xr3:uid="{00000000-0010-0000-0000-000008000000}" name="English"/>
    <tableColumn id="9" xr3:uid="{00000000-0010-0000-0000-000009000000}" name="Attendance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9778C4-22F3-439E-B9CF-AD1A32C5884E}" name="StudentMarks" displayName="StudentMarks" ref="A1:R16" headerRowDxfId="8" dataDxfId="23" totalsRowDxfId="17" headerRowBorderDxfId="21" tableBorderDxfId="22">
  <autoFilter ref="A1:R16" xr:uid="{4F9778C4-22F3-439E-B9CF-AD1A32C5884E}"/>
  <tableColumns count="18">
    <tableColumn id="1" xr3:uid="{35C14BCF-0C64-4351-81DC-2210F9CF5AA7}" name="Student_ID" dataDxfId="20"/>
    <tableColumn id="2" xr3:uid="{B48255F9-F3B0-4B92-8013-BEF5C29149EB}" name="Name" dataDxfId="7"/>
    <tableColumn id="16" xr3:uid="{01AA3261-153E-4154-AC16-17414A13D655}" name="Upper case" dataDxfId="5">
      <calculatedColumnFormula>UPPER(StudentMarks[[#This Row],[Name]])</calculatedColumnFormula>
    </tableColumn>
    <tableColumn id="17" xr3:uid="{7073C915-AAE4-4068-95EF-A6C2D0788B54}" name="Lower case" dataDxfId="4">
      <calculatedColumnFormula>LOWER(StudentMarks[[#This Row],[Upper case]])</calculatedColumnFormula>
    </tableColumn>
    <tableColumn id="18" xr3:uid="{A966C83A-9482-44A0-A927-2C829D9523A3}" name="Proper name" dataDxfId="3">
      <calculatedColumnFormula>PROPER(StudentMarks[[#This Row],[Lower case]])</calculatedColumnFormula>
    </tableColumn>
    <tableColumn id="13" xr3:uid="{6B6DD611-F0C1-4B18-BFFC-84612CD96CEA}" name="First 5 char" dataDxfId="2">
      <calculatedColumnFormula>LEFT(StudentMarks[[#This Row],[Name]],5)</calculatedColumnFormula>
    </tableColumn>
    <tableColumn id="14" xr3:uid="{5791978D-9703-4A1C-A130-4BD9C9723467}" name="Last 5 char" dataDxfId="1">
      <calculatedColumnFormula>RIGHT(StudentMarks[[#This Row],[Name]],5)</calculatedColumnFormula>
    </tableColumn>
    <tableColumn id="15" xr3:uid="{C488A717-62C8-419F-8173-3A4244E74EE2}" name="MID 4 char" dataDxfId="0">
      <calculatedColumnFormula>MID(StudentMarks[[#This Row],[Name]],3,4)</calculatedColumnFormula>
    </tableColumn>
    <tableColumn id="3" xr3:uid="{0EF174E5-9F54-4335-8C1E-FE755E6684CE}" name="Gender" dataDxfId="6"/>
    <tableColumn id="4" xr3:uid="{9CC29309-2226-4E88-B973-1025EC0801D8}" name="Department" dataDxfId="19"/>
    <tableColumn id="5" xr3:uid="{700F09D9-7B67-4AD9-B054-15B08660446D}" name="City" dataDxfId="18"/>
    <tableColumn id="6" xr3:uid="{3402CB84-BD21-4BF8-8CF9-A66FED8A8876}" name="Maths" dataDxfId="16"/>
    <tableColumn id="10" xr3:uid="{FCCB276C-3291-44C4-845D-87C85BE3B118}" name="Status of Maths" dataDxfId="14">
      <calculatedColumnFormula>IF(StudentMarks[[#This Row],[Maths]]&gt;=60,"PASS","FAIL")</calculatedColumnFormula>
    </tableColumn>
    <tableColumn id="7" xr3:uid="{6DABAA56-2A17-4DF4-B512-F0D288E7E484}" name="Science" dataDxfId="15"/>
    <tableColumn id="8" xr3:uid="{A5677D34-9753-4CC1-B4F0-D52E85BDC18B}" name="English" dataDxfId="12"/>
    <tableColumn id="12" xr3:uid="{77222022-F6E3-4D14-833B-3C909C1293E8}" name="Eligible status of English" dataDxfId="10">
      <calculatedColumnFormula>IF(StudentMarks[[#This Row],[English]]&gt;75, "Eligible","Not Eligible")</calculatedColumnFormula>
    </tableColumn>
    <tableColumn id="9" xr3:uid="{E330899D-2CD9-4DBB-9572-9BF5D3701512}" name="Attendance" dataDxfId="11"/>
    <tableColumn id="11" xr3:uid="{2C286A06-B5FC-49C8-9895-987F8F11DF7F}" name="Status of Attendance" dataDxfId="13" totalsRowDxfId="9">
      <calculatedColumnFormula>IF(StudentMarks[[#This Row],[Attendance]]&gt;90, "Excellent","Need improvement")</calculatedColumnFormula>
    </tableColumn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"/>
  <sheetViews>
    <sheetView workbookViewId="0">
      <pane ySplit="1" topLeftCell="A2" activePane="bottomLeft" state="frozen"/>
      <selection pane="bottomLeft" activeCell="A17" sqref="A17:XFD17"/>
    </sheetView>
  </sheetViews>
  <sheetFormatPr defaultColWidth="14.44140625" defaultRowHeight="15" customHeight="1" x14ac:dyDescent="0.3"/>
  <cols>
    <col min="1" max="1" width="14.88671875" customWidth="1"/>
    <col min="2" max="2" width="10.33203125" customWidth="1"/>
    <col min="3" max="3" width="11.5546875" customWidth="1"/>
    <col min="4" max="4" width="15.5546875" customWidth="1"/>
    <col min="5" max="5" width="14.5546875" customWidth="1"/>
    <col min="6" max="6" width="16.88671875" customWidth="1"/>
    <col min="7" max="7" width="16.109375" customWidth="1"/>
    <col min="8" max="8" width="12.5546875" customWidth="1"/>
    <col min="9" max="9" width="17.5546875" customWidth="1"/>
    <col min="10" max="26" width="8.66406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8" ht="14.25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85</v>
      </c>
      <c r="G2" s="4">
        <v>78</v>
      </c>
      <c r="H2" s="4">
        <v>82</v>
      </c>
      <c r="I2" s="4">
        <v>95</v>
      </c>
    </row>
    <row r="3" spans="1:18" ht="14.25" customHeight="1" x14ac:dyDescent="0.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4">
        <v>72</v>
      </c>
      <c r="G3" s="4">
        <v>88</v>
      </c>
      <c r="H3" s="4">
        <v>76</v>
      </c>
      <c r="I3" s="4">
        <v>92</v>
      </c>
    </row>
    <row r="4" spans="1:18" ht="14.25" customHeight="1" x14ac:dyDescent="0.4">
      <c r="A4" s="3" t="s">
        <v>19</v>
      </c>
      <c r="B4" s="3" t="s">
        <v>20</v>
      </c>
      <c r="C4" s="3" t="s">
        <v>11</v>
      </c>
      <c r="D4" s="3" t="s">
        <v>12</v>
      </c>
      <c r="E4" s="3" t="s">
        <v>13</v>
      </c>
      <c r="F4" s="4">
        <v>58</v>
      </c>
      <c r="G4" s="4">
        <v>65</v>
      </c>
      <c r="H4" s="4">
        <v>71</v>
      </c>
      <c r="I4" s="4">
        <v>87</v>
      </c>
      <c r="K4" s="5"/>
      <c r="L4" s="6"/>
      <c r="M4" s="6"/>
      <c r="N4" s="6"/>
      <c r="O4" s="6"/>
      <c r="P4" s="6"/>
      <c r="Q4" s="6"/>
      <c r="R4" s="6"/>
    </row>
    <row r="5" spans="1:18" ht="14.25" customHeight="1" x14ac:dyDescent="0.3">
      <c r="A5" s="3" t="s">
        <v>21</v>
      </c>
      <c r="B5" s="3" t="s">
        <v>22</v>
      </c>
      <c r="C5" s="3" t="s">
        <v>16</v>
      </c>
      <c r="D5" s="3" t="s">
        <v>23</v>
      </c>
      <c r="E5" s="3" t="s">
        <v>24</v>
      </c>
      <c r="F5" s="4">
        <v>91</v>
      </c>
      <c r="G5" s="4">
        <v>94</v>
      </c>
      <c r="H5" s="4">
        <v>89</v>
      </c>
      <c r="I5" s="4">
        <v>96</v>
      </c>
    </row>
    <row r="6" spans="1:18" ht="14.25" customHeight="1" x14ac:dyDescent="0.3">
      <c r="A6" s="3" t="s">
        <v>25</v>
      </c>
      <c r="B6" s="3" t="s">
        <v>26</v>
      </c>
      <c r="C6" s="3" t="s">
        <v>11</v>
      </c>
      <c r="D6" s="3" t="s">
        <v>17</v>
      </c>
      <c r="E6" s="3" t="s">
        <v>13</v>
      </c>
      <c r="F6" s="4">
        <v>66</v>
      </c>
      <c r="G6" s="4">
        <v>72</v>
      </c>
      <c r="H6" s="4">
        <v>68</v>
      </c>
      <c r="I6" s="4">
        <v>89</v>
      </c>
    </row>
    <row r="7" spans="1:18" ht="14.25" customHeight="1" x14ac:dyDescent="0.3">
      <c r="A7" s="3" t="s">
        <v>27</v>
      </c>
      <c r="B7" s="3" t="s">
        <v>28</v>
      </c>
      <c r="C7" s="3" t="s">
        <v>16</v>
      </c>
      <c r="D7" s="3" t="s">
        <v>12</v>
      </c>
      <c r="E7" s="3" t="s">
        <v>29</v>
      </c>
      <c r="F7" s="4">
        <v>79</v>
      </c>
      <c r="G7" s="4">
        <v>81</v>
      </c>
      <c r="H7" s="4">
        <v>85</v>
      </c>
      <c r="I7" s="4">
        <v>93</v>
      </c>
    </row>
    <row r="8" spans="1:18" ht="14.25" customHeight="1" x14ac:dyDescent="0.3">
      <c r="A8" s="3" t="s">
        <v>30</v>
      </c>
      <c r="B8" s="3" t="s">
        <v>31</v>
      </c>
      <c r="C8" s="3" t="s">
        <v>11</v>
      </c>
      <c r="D8" s="3" t="s">
        <v>23</v>
      </c>
      <c r="E8" s="3" t="s">
        <v>13</v>
      </c>
      <c r="F8" s="4">
        <v>45</v>
      </c>
      <c r="G8" s="4">
        <v>59</v>
      </c>
      <c r="H8" s="4">
        <v>62</v>
      </c>
      <c r="I8" s="4">
        <v>78</v>
      </c>
    </row>
    <row r="9" spans="1:18" ht="14.25" customHeight="1" x14ac:dyDescent="0.3">
      <c r="A9" s="3" t="s">
        <v>32</v>
      </c>
      <c r="B9" s="3" t="s">
        <v>33</v>
      </c>
      <c r="C9" s="3" t="s">
        <v>16</v>
      </c>
      <c r="D9" s="3" t="s">
        <v>17</v>
      </c>
      <c r="E9" s="3" t="s">
        <v>13</v>
      </c>
      <c r="F9" s="4">
        <v>88</v>
      </c>
      <c r="G9" s="4">
        <v>91</v>
      </c>
      <c r="H9" s="4">
        <v>79</v>
      </c>
      <c r="I9" s="4">
        <v>97</v>
      </c>
    </row>
    <row r="10" spans="1:18" ht="14.25" customHeight="1" x14ac:dyDescent="0.3">
      <c r="A10" s="3" t="s">
        <v>34</v>
      </c>
      <c r="B10" s="3" t="s">
        <v>35</v>
      </c>
      <c r="C10" s="3" t="s">
        <v>11</v>
      </c>
      <c r="D10" s="3" t="s">
        <v>12</v>
      </c>
      <c r="E10" s="3" t="s">
        <v>24</v>
      </c>
      <c r="F10" s="4">
        <v>63</v>
      </c>
      <c r="G10" s="4">
        <v>74</v>
      </c>
      <c r="H10" s="4">
        <v>77</v>
      </c>
      <c r="I10" s="4">
        <v>91</v>
      </c>
    </row>
    <row r="11" spans="1:18" ht="14.25" customHeight="1" x14ac:dyDescent="0.3">
      <c r="A11" s="3" t="s">
        <v>36</v>
      </c>
      <c r="B11" s="3" t="s">
        <v>37</v>
      </c>
      <c r="C11" s="3" t="s">
        <v>16</v>
      </c>
      <c r="D11" s="3" t="s">
        <v>23</v>
      </c>
      <c r="E11" s="3" t="s">
        <v>13</v>
      </c>
      <c r="F11" s="4">
        <v>54</v>
      </c>
      <c r="G11" s="4">
        <v>68</v>
      </c>
      <c r="H11" s="4">
        <v>73</v>
      </c>
      <c r="I11" s="4">
        <v>86</v>
      </c>
    </row>
    <row r="12" spans="1:18" ht="14.25" customHeight="1" x14ac:dyDescent="0.3">
      <c r="A12" s="3" t="s">
        <v>38</v>
      </c>
      <c r="B12" s="3" t="s">
        <v>39</v>
      </c>
      <c r="C12" s="3" t="s">
        <v>11</v>
      </c>
      <c r="D12" s="3" t="s">
        <v>17</v>
      </c>
      <c r="E12" s="3" t="s">
        <v>29</v>
      </c>
      <c r="F12" s="4">
        <v>76</v>
      </c>
      <c r="G12" s="4">
        <v>83</v>
      </c>
      <c r="H12" s="4">
        <v>81</v>
      </c>
      <c r="I12" s="4">
        <v>94</v>
      </c>
    </row>
    <row r="13" spans="1:18" ht="14.25" customHeight="1" x14ac:dyDescent="0.3">
      <c r="A13" s="3" t="s">
        <v>40</v>
      </c>
      <c r="B13" s="3" t="s">
        <v>41</v>
      </c>
      <c r="C13" s="3" t="s">
        <v>16</v>
      </c>
      <c r="D13" s="3" t="s">
        <v>12</v>
      </c>
      <c r="E13" s="3" t="s">
        <v>13</v>
      </c>
      <c r="F13" s="4">
        <v>92</v>
      </c>
      <c r="G13" s="4">
        <v>89</v>
      </c>
      <c r="H13" s="4">
        <v>95</v>
      </c>
      <c r="I13" s="4">
        <v>98</v>
      </c>
    </row>
    <row r="14" spans="1:18" ht="14.25" customHeight="1" x14ac:dyDescent="0.3">
      <c r="A14" s="3" t="s">
        <v>42</v>
      </c>
      <c r="B14" s="3" t="s">
        <v>43</v>
      </c>
      <c r="C14" s="3" t="s">
        <v>11</v>
      </c>
      <c r="D14" s="3" t="s">
        <v>23</v>
      </c>
      <c r="E14" s="3" t="s">
        <v>24</v>
      </c>
      <c r="F14" s="4">
        <v>69</v>
      </c>
      <c r="G14" s="4">
        <v>61</v>
      </c>
      <c r="H14" s="4">
        <v>58</v>
      </c>
      <c r="I14" s="4">
        <v>84</v>
      </c>
    </row>
    <row r="15" spans="1:18" ht="14.25" customHeight="1" x14ac:dyDescent="0.3">
      <c r="A15" s="3" t="s">
        <v>44</v>
      </c>
      <c r="B15" s="3" t="s">
        <v>45</v>
      </c>
      <c r="C15" s="3" t="s">
        <v>16</v>
      </c>
      <c r="D15" s="3" t="s">
        <v>17</v>
      </c>
      <c r="E15" s="3" t="s">
        <v>13</v>
      </c>
      <c r="F15" s="4">
        <v>81</v>
      </c>
      <c r="G15" s="4">
        <v>86</v>
      </c>
      <c r="H15" s="4">
        <v>88</v>
      </c>
      <c r="I15" s="4">
        <v>90</v>
      </c>
    </row>
    <row r="16" spans="1:18" ht="14.25" customHeight="1" x14ac:dyDescent="0.3">
      <c r="A16" s="3" t="s">
        <v>46</v>
      </c>
      <c r="B16" s="3" t="s">
        <v>47</v>
      </c>
      <c r="C16" s="3" t="s">
        <v>11</v>
      </c>
      <c r="D16" s="3" t="s">
        <v>12</v>
      </c>
      <c r="E16" s="3" t="s">
        <v>29</v>
      </c>
      <c r="F16" s="4">
        <v>57</v>
      </c>
      <c r="G16" s="4">
        <v>70</v>
      </c>
      <c r="H16" s="4">
        <v>64</v>
      </c>
      <c r="I16" s="4">
        <v>82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customSheetViews>
    <customSheetView guid="{2253786C-9E77-4871-B225-90EE90B04701}" filter="1" showAutoFilter="1">
      <pageMargins left="0.7" right="0.7" top="0.75" bottom="0.75" header="0.3" footer="0.3"/>
      <autoFilter ref="A1:I16" xr:uid="{4360BC33-E19E-4888-AF35-E42411F9203A}"/>
      <extLst>
        <ext uri="GoogleSheetsCustomDataVersion1">
          <go:sheetsCustomData xmlns:go="http://customooxmlschemas.google.com/" filterViewId="1925870291"/>
        </ext>
      </extLst>
    </customSheetView>
  </customSheetViews>
  <mergeCells count="1">
    <mergeCell ref="K4:R4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BD7B1-14F5-4116-8D09-1530006A76D1}">
  <dimension ref="A1:R35"/>
  <sheetViews>
    <sheetView tabSelected="1" topLeftCell="A6" workbookViewId="0">
      <selection activeCell="I24" sqref="I24"/>
    </sheetView>
  </sheetViews>
  <sheetFormatPr defaultColWidth="17.21875" defaultRowHeight="14.4" x14ac:dyDescent="0.3"/>
  <cols>
    <col min="1" max="1" width="29.44140625" customWidth="1"/>
    <col min="18" max="18" width="20.88671875" customWidth="1"/>
  </cols>
  <sheetData>
    <row r="1" spans="1:18" s="25" customFormat="1" ht="28.8" x14ac:dyDescent="0.3">
      <c r="A1" s="21" t="s">
        <v>0</v>
      </c>
      <c r="B1" s="22" t="s">
        <v>1</v>
      </c>
      <c r="C1" s="22" t="s">
        <v>69</v>
      </c>
      <c r="D1" s="22" t="s">
        <v>70</v>
      </c>
      <c r="E1" s="22" t="s">
        <v>71</v>
      </c>
      <c r="F1" s="22" t="s">
        <v>66</v>
      </c>
      <c r="G1" s="22" t="s">
        <v>67</v>
      </c>
      <c r="H1" s="22" t="s">
        <v>68</v>
      </c>
      <c r="I1" s="22" t="s">
        <v>2</v>
      </c>
      <c r="J1" s="22" t="s">
        <v>3</v>
      </c>
      <c r="K1" s="22" t="s">
        <v>4</v>
      </c>
      <c r="L1" s="22" t="s">
        <v>5</v>
      </c>
      <c r="M1" s="22" t="s">
        <v>55</v>
      </c>
      <c r="N1" s="22" t="s">
        <v>6</v>
      </c>
      <c r="O1" s="22" t="s">
        <v>7</v>
      </c>
      <c r="P1" s="23" t="s">
        <v>57</v>
      </c>
      <c r="Q1" s="23" t="s">
        <v>8</v>
      </c>
      <c r="R1" s="24" t="s">
        <v>56</v>
      </c>
    </row>
    <row r="2" spans="1:18" x14ac:dyDescent="0.3">
      <c r="A2" s="7" t="s">
        <v>9</v>
      </c>
      <c r="B2" s="28" t="s">
        <v>10</v>
      </c>
      <c r="C2" s="17" t="str">
        <f>UPPER(StudentMarks[[#This Row],[Name]])</f>
        <v>ARUN KUMAR</v>
      </c>
      <c r="D2" s="17" t="str">
        <f>LOWER(StudentMarks[[#This Row],[Upper case]])</f>
        <v>arun kumar</v>
      </c>
      <c r="E2" s="17" t="str">
        <f>PROPER(StudentMarks[[#This Row],[Lower case]])</f>
        <v>Arun Kumar</v>
      </c>
      <c r="F2" s="17" t="str">
        <f>LEFT(StudentMarks[[#This Row],[Name]],5)</f>
        <v xml:space="preserve">Arun </v>
      </c>
      <c r="G2" s="17" t="str">
        <f>RIGHT(StudentMarks[[#This Row],[Name]],5)</f>
        <v>Kumar</v>
      </c>
      <c r="H2" s="17" t="str">
        <f>MID(StudentMarks[[#This Row],[Name]],3,4)</f>
        <v>un K</v>
      </c>
      <c r="I2" s="8" t="s">
        <v>11</v>
      </c>
      <c r="J2" s="8" t="s">
        <v>12</v>
      </c>
      <c r="K2" s="8" t="s">
        <v>13</v>
      </c>
      <c r="L2" s="8">
        <v>85</v>
      </c>
      <c r="M2" s="17" t="str">
        <f>IF(StudentMarks[[#This Row],[Maths]]&gt;=60,"PASS","FAIL")</f>
        <v>PASS</v>
      </c>
      <c r="N2" s="8">
        <v>78</v>
      </c>
      <c r="O2" s="8">
        <v>82</v>
      </c>
      <c r="P2" s="19" t="str">
        <f>IF(StudentMarks[[#This Row],[English]]&gt;75, "Eligible","Not Eligible")</f>
        <v>Eligible</v>
      </c>
      <c r="Q2" s="9">
        <v>95</v>
      </c>
      <c r="R2" s="18" t="str">
        <f>IF(StudentMarks[[#This Row],[Attendance]]&gt;90, "Excellent","Need improvement")</f>
        <v>Excellent</v>
      </c>
    </row>
    <row r="3" spans="1:18" x14ac:dyDescent="0.3">
      <c r="A3" s="7" t="s">
        <v>14</v>
      </c>
      <c r="B3" s="8" t="s">
        <v>15</v>
      </c>
      <c r="C3" s="17" t="str">
        <f>UPPER(StudentMarks[[#This Row],[Name]])</f>
        <v>PRIYA SHARMA</v>
      </c>
      <c r="D3" s="17" t="str">
        <f>LOWER(StudentMarks[[#This Row],[Upper case]])</f>
        <v>priya sharma</v>
      </c>
      <c r="E3" s="17" t="str">
        <f>PROPER(StudentMarks[[#This Row],[Lower case]])</f>
        <v>Priya Sharma</v>
      </c>
      <c r="F3" s="17" t="str">
        <f>LEFT(StudentMarks[[#This Row],[Name]],5)</f>
        <v>Priya</v>
      </c>
      <c r="G3" s="17" t="str">
        <f>RIGHT(StudentMarks[[#This Row],[Name]],5)</f>
        <v>harma</v>
      </c>
      <c r="H3" s="17" t="str">
        <f>MID(StudentMarks[[#This Row],[Name]],3,4)</f>
        <v xml:space="preserve">iya </v>
      </c>
      <c r="I3" s="8" t="s">
        <v>16</v>
      </c>
      <c r="J3" s="8" t="s">
        <v>17</v>
      </c>
      <c r="K3" s="8" t="s">
        <v>18</v>
      </c>
      <c r="L3" s="8">
        <v>72</v>
      </c>
      <c r="M3" s="17" t="str">
        <f>IF(StudentMarks[[#This Row],[Maths]]&gt;=60,"PASS","FAIL")</f>
        <v>PASS</v>
      </c>
      <c r="N3" s="8">
        <v>88</v>
      </c>
      <c r="O3" s="8">
        <v>76</v>
      </c>
      <c r="P3" s="19" t="str">
        <f>IF(StudentMarks[[#This Row],[English]]&gt;75, "Eligible","Not Eligible")</f>
        <v>Eligible</v>
      </c>
      <c r="Q3" s="9">
        <v>92</v>
      </c>
      <c r="R3" s="18" t="str">
        <f>IF(StudentMarks[[#This Row],[Attendance]]&gt;90, "Excellent","Need improvement")</f>
        <v>Excellent</v>
      </c>
    </row>
    <row r="4" spans="1:18" x14ac:dyDescent="0.3">
      <c r="A4" s="7" t="s">
        <v>19</v>
      </c>
      <c r="B4" s="8" t="s">
        <v>20</v>
      </c>
      <c r="C4" s="17" t="str">
        <f>UPPER(StudentMarks[[#This Row],[Name]])</f>
        <v>RAHUL VERMA</v>
      </c>
      <c r="D4" s="17" t="str">
        <f>LOWER(StudentMarks[[#This Row],[Upper case]])</f>
        <v>rahul verma</v>
      </c>
      <c r="E4" s="17" t="str">
        <f>PROPER(StudentMarks[[#This Row],[Lower case]])</f>
        <v>Rahul Verma</v>
      </c>
      <c r="F4" s="17" t="str">
        <f>LEFT(StudentMarks[[#This Row],[Name]],5)</f>
        <v>Rahul</v>
      </c>
      <c r="G4" s="17" t="str">
        <f>RIGHT(StudentMarks[[#This Row],[Name]],5)</f>
        <v>Verma</v>
      </c>
      <c r="H4" s="17" t="str">
        <f>MID(StudentMarks[[#This Row],[Name]],3,4)</f>
        <v xml:space="preserve">hul </v>
      </c>
      <c r="I4" s="8" t="s">
        <v>11</v>
      </c>
      <c r="J4" s="8" t="s">
        <v>12</v>
      </c>
      <c r="K4" s="8" t="s">
        <v>13</v>
      </c>
      <c r="L4" s="8">
        <v>58</v>
      </c>
      <c r="M4" s="17" t="str">
        <f>IF(StudentMarks[[#This Row],[Maths]]&gt;=60,"PASS","FAIL")</f>
        <v>FAIL</v>
      </c>
      <c r="N4" s="8">
        <v>65</v>
      </c>
      <c r="O4" s="8">
        <v>71</v>
      </c>
      <c r="P4" s="19" t="str">
        <f>IF(StudentMarks[[#This Row],[English]]&gt;75, "Eligible","Not Eligible")</f>
        <v>Not Eligible</v>
      </c>
      <c r="Q4" s="9">
        <v>87</v>
      </c>
      <c r="R4" s="18" t="str">
        <f>IF(StudentMarks[[#This Row],[Attendance]]&gt;90, "Excellent","Need improvement")</f>
        <v>Need improvement</v>
      </c>
    </row>
    <row r="5" spans="1:18" x14ac:dyDescent="0.3">
      <c r="A5" s="7" t="s">
        <v>21</v>
      </c>
      <c r="B5" s="8" t="s">
        <v>22</v>
      </c>
      <c r="C5" s="17" t="str">
        <f>UPPER(StudentMarks[[#This Row],[Name]])</f>
        <v>DIVYA RAJ</v>
      </c>
      <c r="D5" s="17" t="str">
        <f>LOWER(StudentMarks[[#This Row],[Upper case]])</f>
        <v>divya raj</v>
      </c>
      <c r="E5" s="17" t="str">
        <f>PROPER(StudentMarks[[#This Row],[Lower case]])</f>
        <v>Divya Raj</v>
      </c>
      <c r="F5" s="17" t="str">
        <f>LEFT(StudentMarks[[#This Row],[Name]],5)</f>
        <v>Divya</v>
      </c>
      <c r="G5" s="17" t="str">
        <f>RIGHT(StudentMarks[[#This Row],[Name]],5)</f>
        <v>a Raj</v>
      </c>
      <c r="H5" s="17" t="str">
        <f>MID(StudentMarks[[#This Row],[Name]],3,4)</f>
        <v xml:space="preserve">vya </v>
      </c>
      <c r="I5" s="8" t="s">
        <v>16</v>
      </c>
      <c r="J5" s="8" t="s">
        <v>23</v>
      </c>
      <c r="K5" s="8" t="s">
        <v>24</v>
      </c>
      <c r="L5" s="8">
        <v>91</v>
      </c>
      <c r="M5" s="17" t="str">
        <f>IF(StudentMarks[[#This Row],[Maths]]&gt;=60,"PASS","FAIL")</f>
        <v>PASS</v>
      </c>
      <c r="N5" s="8">
        <v>94</v>
      </c>
      <c r="O5" s="8">
        <v>89</v>
      </c>
      <c r="P5" s="19" t="str">
        <f>IF(StudentMarks[[#This Row],[English]]&gt;75, "Eligible","Not Eligible")</f>
        <v>Eligible</v>
      </c>
      <c r="Q5" s="9">
        <v>96</v>
      </c>
      <c r="R5" s="18" t="str">
        <f>IF(StudentMarks[[#This Row],[Attendance]]&gt;90, "Excellent","Need improvement")</f>
        <v>Excellent</v>
      </c>
    </row>
    <row r="6" spans="1:18" x14ac:dyDescent="0.3">
      <c r="A6" s="7" t="s">
        <v>25</v>
      </c>
      <c r="B6" s="8" t="s">
        <v>26</v>
      </c>
      <c r="C6" s="17" t="str">
        <f>UPPER(StudentMarks[[#This Row],[Name]])</f>
        <v>KARTHIK KUMAR</v>
      </c>
      <c r="D6" s="17" t="str">
        <f>LOWER(StudentMarks[[#This Row],[Upper case]])</f>
        <v>karthik kumar</v>
      </c>
      <c r="E6" s="17" t="str">
        <f>PROPER(StudentMarks[[#This Row],[Lower case]])</f>
        <v>Karthik Kumar</v>
      </c>
      <c r="F6" s="17" t="str">
        <f>LEFT(StudentMarks[[#This Row],[Name]],5)</f>
        <v>Karth</v>
      </c>
      <c r="G6" s="17" t="str">
        <f>RIGHT(StudentMarks[[#This Row],[Name]],5)</f>
        <v>Kumar</v>
      </c>
      <c r="H6" s="17" t="str">
        <f>MID(StudentMarks[[#This Row],[Name]],3,4)</f>
        <v>rthi</v>
      </c>
      <c r="I6" s="8" t="s">
        <v>11</v>
      </c>
      <c r="J6" s="8" t="s">
        <v>17</v>
      </c>
      <c r="K6" s="8" t="s">
        <v>13</v>
      </c>
      <c r="L6" s="8">
        <v>66</v>
      </c>
      <c r="M6" s="17" t="str">
        <f>IF(StudentMarks[[#This Row],[Maths]]&gt;=60,"PASS","FAIL")</f>
        <v>PASS</v>
      </c>
      <c r="N6" s="8">
        <v>72</v>
      </c>
      <c r="O6" s="8">
        <v>68</v>
      </c>
      <c r="P6" s="19" t="str">
        <f>IF(StudentMarks[[#This Row],[English]]&gt;75, "Eligible","Not Eligible")</f>
        <v>Not Eligible</v>
      </c>
      <c r="Q6" s="9">
        <v>89</v>
      </c>
      <c r="R6" s="18" t="str">
        <f>IF(StudentMarks[[#This Row],[Attendance]]&gt;90, "Excellent","Need improvement")</f>
        <v>Need improvement</v>
      </c>
    </row>
    <row r="7" spans="1:18" x14ac:dyDescent="0.3">
      <c r="A7" s="7" t="s">
        <v>27</v>
      </c>
      <c r="B7" s="8" t="s">
        <v>28</v>
      </c>
      <c r="C7" s="17" t="str">
        <f>UPPER(StudentMarks[[#This Row],[Name]])</f>
        <v>ANITHA DEVI</v>
      </c>
      <c r="D7" s="17" t="str">
        <f>LOWER(StudentMarks[[#This Row],[Upper case]])</f>
        <v>anitha devi</v>
      </c>
      <c r="E7" s="17" t="str">
        <f>PROPER(StudentMarks[[#This Row],[Lower case]])</f>
        <v>Anitha Devi</v>
      </c>
      <c r="F7" s="17" t="str">
        <f>LEFT(StudentMarks[[#This Row],[Name]],5)</f>
        <v>Anith</v>
      </c>
      <c r="G7" s="17" t="str">
        <f>RIGHT(StudentMarks[[#This Row],[Name]],5)</f>
        <v xml:space="preserve"> Devi</v>
      </c>
      <c r="H7" s="17" t="str">
        <f>MID(StudentMarks[[#This Row],[Name]],3,4)</f>
        <v>itha</v>
      </c>
      <c r="I7" s="8" t="s">
        <v>16</v>
      </c>
      <c r="J7" s="8" t="s">
        <v>12</v>
      </c>
      <c r="K7" s="8" t="s">
        <v>29</v>
      </c>
      <c r="L7" s="8">
        <v>79</v>
      </c>
      <c r="M7" s="17" t="str">
        <f>IF(StudentMarks[[#This Row],[Maths]]&gt;=60,"PASS","FAIL")</f>
        <v>PASS</v>
      </c>
      <c r="N7" s="8">
        <v>81</v>
      </c>
      <c r="O7" s="8">
        <v>85</v>
      </c>
      <c r="P7" s="19" t="str">
        <f>IF(StudentMarks[[#This Row],[English]]&gt;75, "Eligible","Not Eligible")</f>
        <v>Eligible</v>
      </c>
      <c r="Q7" s="9">
        <v>93</v>
      </c>
      <c r="R7" s="18" t="str">
        <f>IF(StudentMarks[[#This Row],[Attendance]]&gt;90, "Excellent","Need improvement")</f>
        <v>Excellent</v>
      </c>
    </row>
    <row r="8" spans="1:18" x14ac:dyDescent="0.3">
      <c r="A8" s="7" t="s">
        <v>30</v>
      </c>
      <c r="B8" s="8" t="s">
        <v>31</v>
      </c>
      <c r="C8" s="17" t="str">
        <f>UPPER(StudentMarks[[#This Row],[Name]])</f>
        <v>SANJAY KUMAR</v>
      </c>
      <c r="D8" s="17" t="str">
        <f>LOWER(StudentMarks[[#This Row],[Upper case]])</f>
        <v>sanjay kumar</v>
      </c>
      <c r="E8" s="17" t="str">
        <f>PROPER(StudentMarks[[#This Row],[Lower case]])</f>
        <v>Sanjay Kumar</v>
      </c>
      <c r="F8" s="17" t="str">
        <f>LEFT(StudentMarks[[#This Row],[Name]],5)</f>
        <v>Sanja</v>
      </c>
      <c r="G8" s="17" t="str">
        <f>RIGHT(StudentMarks[[#This Row],[Name]],5)</f>
        <v>Kumar</v>
      </c>
      <c r="H8" s="17" t="str">
        <f>MID(StudentMarks[[#This Row],[Name]],3,4)</f>
        <v>njay</v>
      </c>
      <c r="I8" s="8" t="s">
        <v>11</v>
      </c>
      <c r="J8" s="28" t="s">
        <v>23</v>
      </c>
      <c r="K8" s="8" t="s">
        <v>13</v>
      </c>
      <c r="L8" s="8">
        <v>45</v>
      </c>
      <c r="M8" s="17" t="str">
        <f>IF(StudentMarks[[#This Row],[Maths]]&gt;=60,"PASS","FAIL")</f>
        <v>FAIL</v>
      </c>
      <c r="N8" s="8">
        <v>59</v>
      </c>
      <c r="O8" s="8">
        <v>62</v>
      </c>
      <c r="P8" s="19" t="str">
        <f>IF(StudentMarks[[#This Row],[English]]&gt;75, "Eligible","Not Eligible")</f>
        <v>Not Eligible</v>
      </c>
      <c r="Q8" s="9">
        <v>78</v>
      </c>
      <c r="R8" s="18" t="str">
        <f>IF(StudentMarks[[#This Row],[Attendance]]&gt;90, "Excellent","Need improvement")</f>
        <v>Need improvement</v>
      </c>
    </row>
    <row r="9" spans="1:18" x14ac:dyDescent="0.3">
      <c r="A9" s="7" t="s">
        <v>32</v>
      </c>
      <c r="B9" s="8" t="s">
        <v>33</v>
      </c>
      <c r="C9" s="17" t="str">
        <f>UPPER(StudentMarks[[#This Row],[Name]])</f>
        <v>MEENA PRIYA</v>
      </c>
      <c r="D9" s="17" t="str">
        <f>LOWER(StudentMarks[[#This Row],[Upper case]])</f>
        <v>meena priya</v>
      </c>
      <c r="E9" s="17" t="str">
        <f>PROPER(StudentMarks[[#This Row],[Lower case]])</f>
        <v>Meena Priya</v>
      </c>
      <c r="F9" s="17" t="str">
        <f>LEFT(StudentMarks[[#This Row],[Name]],5)</f>
        <v>Meena</v>
      </c>
      <c r="G9" s="17" t="str">
        <f>RIGHT(StudentMarks[[#This Row],[Name]],5)</f>
        <v>Priya</v>
      </c>
      <c r="H9" s="17" t="str">
        <f>MID(StudentMarks[[#This Row],[Name]],3,4)</f>
        <v xml:space="preserve">ena </v>
      </c>
      <c r="I9" s="8" t="s">
        <v>16</v>
      </c>
      <c r="J9" s="8" t="s">
        <v>17</v>
      </c>
      <c r="K9" s="8" t="s">
        <v>13</v>
      </c>
      <c r="L9" s="8">
        <v>88</v>
      </c>
      <c r="M9" s="17" t="str">
        <f>IF(StudentMarks[[#This Row],[Maths]]&gt;=60,"PASS","FAIL")</f>
        <v>PASS</v>
      </c>
      <c r="N9" s="8">
        <v>91</v>
      </c>
      <c r="O9" s="8">
        <v>79</v>
      </c>
      <c r="P9" s="19" t="str">
        <f>IF(StudentMarks[[#This Row],[English]]&gt;75, "Eligible","Not Eligible")</f>
        <v>Eligible</v>
      </c>
      <c r="Q9" s="9">
        <v>97</v>
      </c>
      <c r="R9" s="18" t="str">
        <f>IF(StudentMarks[[#This Row],[Attendance]]&gt;90, "Excellent","Need improvement")</f>
        <v>Excellent</v>
      </c>
    </row>
    <row r="10" spans="1:18" x14ac:dyDescent="0.3">
      <c r="A10" s="7" t="s">
        <v>34</v>
      </c>
      <c r="B10" s="8" t="s">
        <v>35</v>
      </c>
      <c r="C10" s="17" t="str">
        <f>UPPER(StudentMarks[[#This Row],[Name]])</f>
        <v>VIGNESH RAJ</v>
      </c>
      <c r="D10" s="17" t="str">
        <f>LOWER(StudentMarks[[#This Row],[Upper case]])</f>
        <v>vignesh raj</v>
      </c>
      <c r="E10" s="17" t="str">
        <f>PROPER(StudentMarks[[#This Row],[Lower case]])</f>
        <v>Vignesh Raj</v>
      </c>
      <c r="F10" s="17" t="str">
        <f>LEFT(StudentMarks[[#This Row],[Name]],5)</f>
        <v>Vigne</v>
      </c>
      <c r="G10" s="17" t="str">
        <f>RIGHT(StudentMarks[[#This Row],[Name]],5)</f>
        <v>h Raj</v>
      </c>
      <c r="H10" s="17" t="str">
        <f>MID(StudentMarks[[#This Row],[Name]],3,4)</f>
        <v>gnes</v>
      </c>
      <c r="I10" s="8" t="s">
        <v>11</v>
      </c>
      <c r="J10" s="8" t="s">
        <v>12</v>
      </c>
      <c r="K10" s="8" t="s">
        <v>24</v>
      </c>
      <c r="L10" s="8">
        <v>63</v>
      </c>
      <c r="M10" s="17" t="str">
        <f>IF(StudentMarks[[#This Row],[Maths]]&gt;=60,"PASS","FAIL")</f>
        <v>PASS</v>
      </c>
      <c r="N10" s="8">
        <v>74</v>
      </c>
      <c r="O10" s="8">
        <v>77</v>
      </c>
      <c r="P10" s="19" t="str">
        <f>IF(StudentMarks[[#This Row],[English]]&gt;75, "Eligible","Not Eligible")</f>
        <v>Eligible</v>
      </c>
      <c r="Q10" s="9">
        <v>91</v>
      </c>
      <c r="R10" s="18" t="str">
        <f>IF(StudentMarks[[#This Row],[Attendance]]&gt;90, "Excellent","Need improvement")</f>
        <v>Excellent</v>
      </c>
    </row>
    <row r="11" spans="1:18" x14ac:dyDescent="0.3">
      <c r="A11" s="7" t="s">
        <v>36</v>
      </c>
      <c r="B11" s="8" t="s">
        <v>37</v>
      </c>
      <c r="C11" s="17" t="str">
        <f>UPPER(StudentMarks[[#This Row],[Name]])</f>
        <v>SWETHA KUMAR</v>
      </c>
      <c r="D11" s="17" t="str">
        <f>LOWER(StudentMarks[[#This Row],[Upper case]])</f>
        <v>swetha kumar</v>
      </c>
      <c r="E11" s="17" t="str">
        <f>PROPER(StudentMarks[[#This Row],[Lower case]])</f>
        <v>Swetha Kumar</v>
      </c>
      <c r="F11" s="17" t="str">
        <f>LEFT(StudentMarks[[#This Row],[Name]],5)</f>
        <v>Sweth</v>
      </c>
      <c r="G11" s="17" t="str">
        <f>RIGHT(StudentMarks[[#This Row],[Name]],5)</f>
        <v>Kumar</v>
      </c>
      <c r="H11" s="17" t="str">
        <f>MID(StudentMarks[[#This Row],[Name]],3,4)</f>
        <v>etha</v>
      </c>
      <c r="I11" s="8" t="s">
        <v>16</v>
      </c>
      <c r="J11" s="8" t="s">
        <v>23</v>
      </c>
      <c r="K11" s="8" t="s">
        <v>13</v>
      </c>
      <c r="L11" s="8">
        <v>54</v>
      </c>
      <c r="M11" s="17" t="str">
        <f>IF(StudentMarks[[#This Row],[Maths]]&gt;=60,"PASS","FAIL")</f>
        <v>FAIL</v>
      </c>
      <c r="N11" s="8">
        <v>68</v>
      </c>
      <c r="O11" s="8">
        <v>73</v>
      </c>
      <c r="P11" s="19" t="str">
        <f>IF(StudentMarks[[#This Row],[English]]&gt;75, "Eligible","Not Eligible")</f>
        <v>Not Eligible</v>
      </c>
      <c r="Q11" s="9">
        <v>86</v>
      </c>
      <c r="R11" s="18" t="str">
        <f>IF(StudentMarks[[#This Row],[Attendance]]&gt;90, "Excellent","Need improvement")</f>
        <v>Need improvement</v>
      </c>
    </row>
    <row r="12" spans="1:18" x14ac:dyDescent="0.3">
      <c r="A12" s="7" t="s">
        <v>38</v>
      </c>
      <c r="B12" s="8" t="s">
        <v>39</v>
      </c>
      <c r="C12" s="17" t="str">
        <f>UPPER(StudentMarks[[#This Row],[Name]])</f>
        <v>ARAVIND KUMAR</v>
      </c>
      <c r="D12" s="17" t="str">
        <f>LOWER(StudentMarks[[#This Row],[Upper case]])</f>
        <v>aravind kumar</v>
      </c>
      <c r="E12" s="17" t="str">
        <f>PROPER(StudentMarks[[#This Row],[Lower case]])</f>
        <v>Aravind Kumar</v>
      </c>
      <c r="F12" s="17" t="str">
        <f>LEFT(StudentMarks[[#This Row],[Name]],5)</f>
        <v>Aravi</v>
      </c>
      <c r="G12" s="17" t="str">
        <f>RIGHT(StudentMarks[[#This Row],[Name]],5)</f>
        <v>Kumar</v>
      </c>
      <c r="H12" s="17" t="str">
        <f>MID(StudentMarks[[#This Row],[Name]],3,4)</f>
        <v>avin</v>
      </c>
      <c r="I12" s="8" t="s">
        <v>11</v>
      </c>
      <c r="J12" s="8" t="s">
        <v>17</v>
      </c>
      <c r="K12" s="8" t="s">
        <v>29</v>
      </c>
      <c r="L12" s="8">
        <v>76</v>
      </c>
      <c r="M12" s="17" t="str">
        <f>IF(StudentMarks[[#This Row],[Maths]]&gt;=60,"PASS","FAIL")</f>
        <v>PASS</v>
      </c>
      <c r="N12" s="8">
        <v>83</v>
      </c>
      <c r="O12" s="8">
        <v>81</v>
      </c>
      <c r="P12" s="19" t="str">
        <f>IF(StudentMarks[[#This Row],[English]]&gt;75, "Eligible","Not Eligible")</f>
        <v>Eligible</v>
      </c>
      <c r="Q12" s="9">
        <v>94</v>
      </c>
      <c r="R12" s="18" t="str">
        <f>IF(StudentMarks[[#This Row],[Attendance]]&gt;90, "Excellent","Need improvement")</f>
        <v>Excellent</v>
      </c>
    </row>
    <row r="13" spans="1:18" x14ac:dyDescent="0.3">
      <c r="A13" s="7" t="s">
        <v>40</v>
      </c>
      <c r="B13" s="8" t="s">
        <v>41</v>
      </c>
      <c r="C13" s="17" t="str">
        <f>UPPER(StudentMarks[[#This Row],[Name]])</f>
        <v>NANDHINI DEVI</v>
      </c>
      <c r="D13" s="17" t="str">
        <f>LOWER(StudentMarks[[#This Row],[Upper case]])</f>
        <v>nandhini devi</v>
      </c>
      <c r="E13" s="17" t="str">
        <f>PROPER(StudentMarks[[#This Row],[Lower case]])</f>
        <v>Nandhini Devi</v>
      </c>
      <c r="F13" s="17" t="str">
        <f>LEFT(StudentMarks[[#This Row],[Name]],5)</f>
        <v>Nandh</v>
      </c>
      <c r="G13" s="17" t="str">
        <f>RIGHT(StudentMarks[[#This Row],[Name]],5)</f>
        <v xml:space="preserve"> Devi</v>
      </c>
      <c r="H13" s="17" t="str">
        <f>MID(StudentMarks[[#This Row],[Name]],3,4)</f>
        <v>ndhi</v>
      </c>
      <c r="I13" s="8" t="s">
        <v>16</v>
      </c>
      <c r="J13" s="8" t="s">
        <v>12</v>
      </c>
      <c r="K13" s="8" t="s">
        <v>13</v>
      </c>
      <c r="L13" s="8">
        <v>92</v>
      </c>
      <c r="M13" s="17" t="str">
        <f>IF(StudentMarks[[#This Row],[Maths]]&gt;=60,"PASS","FAIL")</f>
        <v>PASS</v>
      </c>
      <c r="N13" s="8">
        <v>89</v>
      </c>
      <c r="O13" s="8">
        <v>95</v>
      </c>
      <c r="P13" s="19" t="str">
        <f>IF(StudentMarks[[#This Row],[English]]&gt;75, "Eligible","Not Eligible")</f>
        <v>Eligible</v>
      </c>
      <c r="Q13" s="9">
        <v>98</v>
      </c>
      <c r="R13" s="18" t="str">
        <f>IF(StudentMarks[[#This Row],[Attendance]]&gt;90, "Excellent","Need improvement")</f>
        <v>Excellent</v>
      </c>
    </row>
    <row r="14" spans="1:18" x14ac:dyDescent="0.3">
      <c r="A14" s="7" t="s">
        <v>42</v>
      </c>
      <c r="B14" s="8" t="s">
        <v>43</v>
      </c>
      <c r="C14" s="17" t="str">
        <f>UPPER(StudentMarks[[#This Row],[Name]])</f>
        <v>MANOJ KUMAR</v>
      </c>
      <c r="D14" s="17" t="str">
        <f>LOWER(StudentMarks[[#This Row],[Upper case]])</f>
        <v>manoj kumar</v>
      </c>
      <c r="E14" s="17" t="str">
        <f>PROPER(StudentMarks[[#This Row],[Lower case]])</f>
        <v>Manoj Kumar</v>
      </c>
      <c r="F14" s="17" t="str">
        <f>LEFT(StudentMarks[[#This Row],[Name]],5)</f>
        <v>Manoj</v>
      </c>
      <c r="G14" s="17" t="str">
        <f>RIGHT(StudentMarks[[#This Row],[Name]],5)</f>
        <v>Kumar</v>
      </c>
      <c r="H14" s="17" t="str">
        <f>MID(StudentMarks[[#This Row],[Name]],3,4)</f>
        <v xml:space="preserve">noj </v>
      </c>
      <c r="I14" s="8" t="s">
        <v>11</v>
      </c>
      <c r="J14" s="8" t="s">
        <v>23</v>
      </c>
      <c r="K14" s="8" t="s">
        <v>24</v>
      </c>
      <c r="L14" s="8">
        <v>69</v>
      </c>
      <c r="M14" s="17" t="str">
        <f>IF(StudentMarks[[#This Row],[Maths]]&gt;=60,"PASS","FAIL")</f>
        <v>PASS</v>
      </c>
      <c r="N14" s="8">
        <v>61</v>
      </c>
      <c r="O14" s="8">
        <v>58</v>
      </c>
      <c r="P14" s="19" t="str">
        <f>IF(StudentMarks[[#This Row],[English]]&gt;75, "Eligible","Not Eligible")</f>
        <v>Not Eligible</v>
      </c>
      <c r="Q14" s="9">
        <v>84</v>
      </c>
      <c r="R14" s="18" t="str">
        <f>IF(StudentMarks[[#This Row],[Attendance]]&gt;90, "Excellent","Need improvement")</f>
        <v>Need improvement</v>
      </c>
    </row>
    <row r="15" spans="1:18" x14ac:dyDescent="0.3">
      <c r="A15" s="7" t="s">
        <v>44</v>
      </c>
      <c r="B15" s="8" t="s">
        <v>45</v>
      </c>
      <c r="C15" s="17" t="str">
        <f>UPPER(StudentMarks[[#This Row],[Name]])</f>
        <v>KEERTHANA RAJ</v>
      </c>
      <c r="D15" s="17" t="str">
        <f>LOWER(StudentMarks[[#This Row],[Upper case]])</f>
        <v>keerthana raj</v>
      </c>
      <c r="E15" s="17" t="str">
        <f>PROPER(StudentMarks[[#This Row],[Lower case]])</f>
        <v>Keerthana Raj</v>
      </c>
      <c r="F15" s="17" t="str">
        <f>LEFT(StudentMarks[[#This Row],[Name]],5)</f>
        <v>Keert</v>
      </c>
      <c r="G15" s="17" t="str">
        <f>RIGHT(StudentMarks[[#This Row],[Name]],5)</f>
        <v>a Raj</v>
      </c>
      <c r="H15" s="17" t="str">
        <f>MID(StudentMarks[[#This Row],[Name]],3,4)</f>
        <v>erth</v>
      </c>
      <c r="I15" s="8" t="s">
        <v>16</v>
      </c>
      <c r="J15" s="8" t="s">
        <v>17</v>
      </c>
      <c r="K15" s="8" t="s">
        <v>13</v>
      </c>
      <c r="L15" s="8">
        <v>81</v>
      </c>
      <c r="M15" s="17" t="str">
        <f>IF(StudentMarks[[#This Row],[Maths]]&gt;=60,"PASS","FAIL")</f>
        <v>PASS</v>
      </c>
      <c r="N15" s="8">
        <v>86</v>
      </c>
      <c r="O15" s="8">
        <v>88</v>
      </c>
      <c r="P15" s="19" t="str">
        <f>IF(StudentMarks[[#This Row],[English]]&gt;75, "Eligible","Not Eligible")</f>
        <v>Eligible</v>
      </c>
      <c r="Q15" s="9">
        <v>90</v>
      </c>
      <c r="R15" s="18" t="str">
        <f>IF(StudentMarks[[#This Row],[Attendance]]&gt;90, "Excellent","Need improvement")</f>
        <v>Need improvement</v>
      </c>
    </row>
    <row r="16" spans="1:18" x14ac:dyDescent="0.3">
      <c r="A16" s="10" t="s">
        <v>46</v>
      </c>
      <c r="B16" s="11" t="s">
        <v>47</v>
      </c>
      <c r="C16" s="17" t="str">
        <f>UPPER(StudentMarks[[#This Row],[Name]])</f>
        <v>SURESH BABU</v>
      </c>
      <c r="D16" s="17" t="str">
        <f>LOWER(StudentMarks[[#This Row],[Upper case]])</f>
        <v>suresh babu</v>
      </c>
      <c r="E16" s="17" t="str">
        <f>PROPER(StudentMarks[[#This Row],[Lower case]])</f>
        <v>Suresh Babu</v>
      </c>
      <c r="F16" s="17" t="str">
        <f>LEFT(StudentMarks[[#This Row],[Name]],5)</f>
        <v>Sures</v>
      </c>
      <c r="G16" s="17" t="str">
        <f>RIGHT(StudentMarks[[#This Row],[Name]],5)</f>
        <v xml:space="preserve"> Babu</v>
      </c>
      <c r="H16" s="17" t="str">
        <f>MID(StudentMarks[[#This Row],[Name]],3,4)</f>
        <v>resh</v>
      </c>
      <c r="I16" s="11" t="s">
        <v>11</v>
      </c>
      <c r="J16" s="11" t="s">
        <v>12</v>
      </c>
      <c r="K16" s="11" t="s">
        <v>29</v>
      </c>
      <c r="L16" s="11">
        <v>57</v>
      </c>
      <c r="M16" s="17" t="str">
        <f>IF(StudentMarks[[#This Row],[Maths]]&gt;=60,"PASS","FAIL")</f>
        <v>FAIL</v>
      </c>
      <c r="N16" s="11">
        <v>70</v>
      </c>
      <c r="O16" s="11">
        <v>64</v>
      </c>
      <c r="P16" s="20" t="str">
        <f>IF(StudentMarks[[#This Row],[English]]&gt;75, "Eligible","Not Eligible")</f>
        <v>Not Eligible</v>
      </c>
      <c r="Q16" s="12">
        <v>82</v>
      </c>
      <c r="R16" s="18" t="str">
        <f>IF(StudentMarks[[#This Row],[Attendance]]&gt;90, "Excellent","Need improvement")</f>
        <v>Need improvement</v>
      </c>
    </row>
    <row r="19" spans="1:11" x14ac:dyDescent="0.3">
      <c r="A19" s="16" t="s">
        <v>52</v>
      </c>
      <c r="B19" s="16" t="s">
        <v>53</v>
      </c>
      <c r="C19" s="36"/>
      <c r="D19" s="26" t="s">
        <v>61</v>
      </c>
      <c r="E19" s="27"/>
      <c r="F19" s="36"/>
      <c r="G19" s="31" t="s">
        <v>58</v>
      </c>
      <c r="H19" s="31"/>
    </row>
    <row r="20" spans="1:11" x14ac:dyDescent="0.3">
      <c r="A20" s="14" t="s">
        <v>48</v>
      </c>
      <c r="B20" s="43">
        <f>SUM(StudentMarks[Maths])</f>
        <v>1076</v>
      </c>
      <c r="C20" s="37"/>
      <c r="D20" s="14" t="s">
        <v>12</v>
      </c>
      <c r="E20" s="13">
        <f>COUNTIF(StudentMarks[Department],"cse")</f>
        <v>6</v>
      </c>
      <c r="F20" s="37"/>
      <c r="G20" s="30" t="s">
        <v>59</v>
      </c>
      <c r="H20" s="29">
        <f>SUMIF(StudentMarks[Gender],"male",StudentMarks[Attendance])</f>
        <v>700</v>
      </c>
    </row>
    <row r="21" spans="1:11" x14ac:dyDescent="0.3">
      <c r="A21" s="14" t="s">
        <v>49</v>
      </c>
      <c r="B21" s="13">
        <f>MAX(StudentMarks[Science])</f>
        <v>94</v>
      </c>
      <c r="C21" s="33"/>
      <c r="D21" s="29" t="s">
        <v>23</v>
      </c>
      <c r="E21" s="13">
        <f>COUNTIF(StudentMarks[Department],"ece")</f>
        <v>4</v>
      </c>
      <c r="F21" s="38"/>
      <c r="G21" s="30" t="s">
        <v>60</v>
      </c>
      <c r="H21" s="29">
        <f>SUMIF(StudentMarks[Gender],"Female",StudentMarks[Attendance])</f>
        <v>652</v>
      </c>
    </row>
    <row r="22" spans="1:11" x14ac:dyDescent="0.3">
      <c r="A22" s="14" t="s">
        <v>50</v>
      </c>
      <c r="B22" s="13">
        <f>MIN(StudentMarks[English])</f>
        <v>58</v>
      </c>
      <c r="C22" s="33"/>
      <c r="D22" s="28" t="s">
        <v>17</v>
      </c>
      <c r="E22" s="13">
        <f>COUNTIF(StudentMarks[Department],"it")</f>
        <v>5</v>
      </c>
      <c r="F22" s="38"/>
      <c r="G22" s="33"/>
      <c r="H22" s="33"/>
    </row>
    <row r="23" spans="1:11" x14ac:dyDescent="0.3">
      <c r="A23" s="14" t="s">
        <v>51</v>
      </c>
      <c r="B23" s="13">
        <f>COUNTA(StudentMarks[Student_ID])</f>
        <v>15</v>
      </c>
      <c r="C23" s="33"/>
      <c r="D23" s="33"/>
      <c r="E23" s="37"/>
      <c r="F23" s="38"/>
      <c r="G23" s="33"/>
      <c r="H23" s="33"/>
      <c r="J23" s="32"/>
      <c r="K23" s="33"/>
    </row>
    <row r="24" spans="1:11" x14ac:dyDescent="0.3">
      <c r="A24" s="14" t="s">
        <v>54</v>
      </c>
      <c r="B24" s="15">
        <f>AVERAGE(StudentMarks[Attendance])</f>
        <v>90.13333333333334</v>
      </c>
      <c r="C24" s="34"/>
      <c r="D24" s="26" t="s">
        <v>62</v>
      </c>
      <c r="E24" s="27"/>
      <c r="F24" s="39"/>
      <c r="G24" s="26" t="s">
        <v>72</v>
      </c>
      <c r="H24" s="27"/>
      <c r="J24" s="42"/>
      <c r="K24" s="42"/>
    </row>
    <row r="25" spans="1:11" x14ac:dyDescent="0.3">
      <c r="A25" s="14" t="s">
        <v>63</v>
      </c>
      <c r="B25" s="29">
        <f>COUNTIF(StudentMarks[Attendance],"&gt;=90")</f>
        <v>9</v>
      </c>
      <c r="C25" s="35"/>
      <c r="D25" s="28" t="s">
        <v>13</v>
      </c>
      <c r="E25" s="13">
        <f>COUNTIF(StudentMarks[City],"Chennai")</f>
        <v>8</v>
      </c>
      <c r="F25" s="40"/>
      <c r="G25" s="16" t="s">
        <v>3</v>
      </c>
      <c r="H25" s="16" t="s">
        <v>5</v>
      </c>
      <c r="J25" s="37"/>
      <c r="K25" s="38"/>
    </row>
    <row r="26" spans="1:11" x14ac:dyDescent="0.3">
      <c r="A26" s="14" t="s">
        <v>64</v>
      </c>
      <c r="B26" s="29">
        <f>AVERAGEIF(StudentMarks[Gender],"female",StudentMarks[Maths])</f>
        <v>79.571428571428569</v>
      </c>
      <c r="C26" s="35"/>
      <c r="D26" s="28" t="s">
        <v>29</v>
      </c>
      <c r="E26" s="13">
        <f>COUNTIF(StudentMarks[City],"Madurai")</f>
        <v>3</v>
      </c>
      <c r="F26" s="40"/>
      <c r="G26" s="14" t="s">
        <v>12</v>
      </c>
      <c r="H26" s="13">
        <f>SUMIF(StudentMarks[Department],"CSE",StudentMarks[Maths])</f>
        <v>434</v>
      </c>
      <c r="J26" s="37"/>
      <c r="K26" s="38"/>
    </row>
    <row r="27" spans="1:11" x14ac:dyDescent="0.3">
      <c r="A27" s="14" t="s">
        <v>65</v>
      </c>
      <c r="B27" s="29">
        <f>AVERAGEIF(StudentMarks[Department],"IT",StudentMarks[Science])</f>
        <v>84</v>
      </c>
      <c r="C27" s="35"/>
      <c r="D27" s="28" t="s">
        <v>24</v>
      </c>
      <c r="E27" s="13">
        <f>COUNTIF(StudentMarks[City],"Coimbatore")</f>
        <v>3</v>
      </c>
      <c r="F27" s="40"/>
      <c r="G27" s="29" t="s">
        <v>23</v>
      </c>
      <c r="H27" s="13">
        <f>SUMIF(StudentMarks[Department],"ECE",StudentMarks[Maths])</f>
        <v>259</v>
      </c>
      <c r="J27" s="37"/>
      <c r="K27" s="38"/>
    </row>
    <row r="28" spans="1:11" x14ac:dyDescent="0.3">
      <c r="D28" s="28" t="s">
        <v>18</v>
      </c>
      <c r="E28" s="13">
        <f>COUNTIF(StudentMarks[City],"Bangalore")</f>
        <v>1</v>
      </c>
      <c r="F28" s="41"/>
      <c r="G28" s="28" t="s">
        <v>17</v>
      </c>
      <c r="H28" s="13">
        <f>SUMIF(StudentMarks[Department],"IT",StudentMarks[Maths])</f>
        <v>383</v>
      </c>
      <c r="J28" s="37"/>
      <c r="K28" s="38"/>
    </row>
    <row r="29" spans="1:11" x14ac:dyDescent="0.3">
      <c r="E29" s="37"/>
      <c r="F29" s="41"/>
    </row>
    <row r="30" spans="1:11" x14ac:dyDescent="0.3">
      <c r="E30" s="37"/>
      <c r="F30" s="41"/>
    </row>
    <row r="31" spans="1:11" x14ac:dyDescent="0.3">
      <c r="E31" s="37"/>
      <c r="F31" s="41"/>
    </row>
    <row r="32" spans="1:11" x14ac:dyDescent="0.3">
      <c r="E32" s="37"/>
      <c r="F32" s="41"/>
    </row>
    <row r="33" spans="5:6" x14ac:dyDescent="0.3">
      <c r="E33" s="37"/>
      <c r="F33" s="41"/>
    </row>
    <row r="34" spans="5:6" x14ac:dyDescent="0.3">
      <c r="E34" s="37"/>
      <c r="F34" s="41"/>
    </row>
    <row r="35" spans="5:6" x14ac:dyDescent="0.3">
      <c r="E35" s="37"/>
      <c r="F35" s="41"/>
    </row>
  </sheetData>
  <mergeCells count="5">
    <mergeCell ref="G24:H24"/>
    <mergeCell ref="G19:H19"/>
    <mergeCell ref="D19:E19"/>
    <mergeCell ref="J24:K24"/>
    <mergeCell ref="D24:E2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 set</vt:lpstr>
      <vt:lpstr>Summary_ 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Ponnu Swamy P</dc:creator>
  <cp:lastModifiedBy>Parkavi Thirumal</cp:lastModifiedBy>
  <dcterms:created xsi:type="dcterms:W3CDTF">2026-09-09T06:49:30Z</dcterms:created>
  <dcterms:modified xsi:type="dcterms:W3CDTF">2026-09-13T20:36:53Z</dcterms:modified>
</cp:coreProperties>
</file>