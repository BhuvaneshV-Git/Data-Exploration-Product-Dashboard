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A5DEB53-F929-42E4-8D1B-8D2E682C3FA3}" xr6:coauthVersionLast="47" xr6:coauthVersionMax="47" xr10:uidLastSave="{00000000-0000-0000-0000-000000000000}"/>
  <bookViews>
    <workbookView xWindow="-120" yWindow="-120" windowWidth="20730" windowHeight="11040" activeTab="1" xr2:uid="{830C5967-A3C3-45B3-8695-2FF1788DE280}"/>
  </bookViews>
  <sheets>
    <sheet name="Dataset" sheetId="1" r:id="rId1"/>
    <sheet name="Finilized 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8" i="2" l="1"/>
  <c r="N13" i="2" s="1"/>
  <c r="N20" i="2"/>
  <c r="N19" i="2"/>
  <c r="M16" i="2"/>
  <c r="N12" i="2"/>
  <c r="N11" i="2"/>
  <c r="N10" i="2"/>
  <c r="N9" i="2"/>
  <c r="N3" i="2"/>
  <c r="N5" i="2"/>
  <c r="N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J4" i="2"/>
  <c r="I4" i="2"/>
  <c r="H4" i="2"/>
</calcChain>
</file>

<file path=xl/sharedStrings.xml><?xml version="1.0" encoding="utf-8"?>
<sst xmlns="http://schemas.openxmlformats.org/spreadsheetml/2006/main" count="306" uniqueCount="110">
  <si>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</si>
  <si>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</si>
  <si>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</si>
  <si>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</si>
  <si>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</si>
  <si>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</si>
  <si>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</si>
  <si>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</si>
  <si>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</si>
  <si>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</si>
  <si>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</si>
  <si>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</si>
  <si>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</si>
  <si>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</si>
  <si>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</si>
  <si>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</si>
  <si>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</si>
  <si>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</si>
  <si>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</si>
  <si>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</si>
  <si>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</si>
  <si>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</si>
  <si>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</si>
  <si>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</si>
  <si>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</si>
  <si>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</si>
  <si>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</si>
  <si>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</si>
  <si>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</si>
  <si>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</si>
  <si>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</si>
  <si>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</si>
  <si>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</si>
  <si>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</si>
  <si>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</si>
  <si>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</si>
  <si>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</si>
  <si>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</si>
  <si>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</si>
  <si>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</si>
  <si>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</si>
  <si>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</si>
  <si>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</si>
  <si>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</si>
  <si>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</si>
  <si>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</si>
  <si>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</si>
  <si>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</si>
  <si>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</si>
  <si>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</si>
  <si>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</si>
  <si>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</si>
  <si>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</si>
  <si>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</si>
  <si>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</si>
  <si>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</si>
  <si>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</si>
  <si>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</si>
  <si>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</si>
  <si>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</si>
  <si>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</si>
  <si>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</si>
  <si>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</si>
  <si>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</si>
  <si>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</si>
  <si>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</si>
  <si>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</si>
  <si>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</si>
  <si>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</si>
  <si>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</si>
  <si>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</si>
  <si>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</si>
  <si>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</si>
  <si>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</si>
  <si>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</si>
  <si>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</si>
  <si>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</si>
  <si>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</si>
  <si>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</si>
  <si>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</si>
  <si>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</si>
  <si>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</si>
  <si>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</si>
  <si>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</si>
  <si>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</si>
  <si>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</si>
  <si>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</si>
  <si>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</si>
  <si>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</si>
  <si>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</si>
  <si>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</si>
  <si>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</si>
  <si>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</si>
  <si>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Raw data</t>
  </si>
  <si>
    <t>Output data</t>
  </si>
  <si>
    <t>Month</t>
  </si>
  <si>
    <t>Day</t>
  </si>
  <si>
    <t>Country</t>
  </si>
  <si>
    <t>Total price of all products</t>
  </si>
  <si>
    <t>How many products exist in the dataset.</t>
  </si>
  <si>
    <t>Average price of the products.</t>
  </si>
  <si>
    <t>Output Values</t>
  </si>
  <si>
    <t>Category of Products</t>
  </si>
  <si>
    <t>Total</t>
  </si>
  <si>
    <t>Price details</t>
  </si>
  <si>
    <t>Number of products with a price less than $100</t>
  </si>
  <si>
    <t>Minimum price</t>
  </si>
  <si>
    <t>maximum price</t>
  </si>
  <si>
    <t>Minimum and Maximum Values</t>
  </si>
  <si>
    <t>Price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</si>
</sst>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" xfId="0" applyNumberFormat="1" applyBorder="1"/>
    <xf numFmtId="0" fontId="0" fillId="0" borderId="17" xfId="0" applyBorder="1"/>
    <xf numFmtId="164" fontId="0" fillId="0" borderId="17" xfId="0" applyNumberForma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142875</xdr:colOff>
      <xdr:row>21</xdr:row>
      <xdr:rowOff>161925</xdr:rowOff>
    </xdr:from>
    <xdr:to>
      <xdr:col>15</xdr:col>
      <xdr:colOff>515106</xdr:colOff>
      <xdr:row>35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480C7E-1FEC-86BA-7056-152503E01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4238625"/>
          <a:ext cx="5420481" cy="2505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C5D9-A142-4E19-BB26-09A7A0B401BA}">
  <dimension ref="A1:K36"/>
  <sheetViews>
    <sheetView workbookViewId="0">
      <selection activeCell="J6" sqref="J6"/>
    </sheetView>
  </sheetViews>
  <sheetFormatPr defaultRowHeight="15" x14ac:dyDescent="0.25"/>
  <cols>
    <col min="1" max="1" width="10.85546875" style="2" bestFit="1" customWidth="1"/>
    <col min="2" max="2" width="14" style="2" bestFit="1" customWidth="1"/>
    <col min="3" max="3" width="12.28515625" style="2" bestFit="1" customWidth="1"/>
    <col min="4" max="4" width="11.28515625" style="2" bestFit="1" customWidth="1"/>
    <col min="5" max="5" width="8.5703125" style="2" bestFit="1" customWidth="1"/>
    <col min="6" max="6" width="11.28515625" style="2" bestFit="1" customWidth="1"/>
    <col min="7" max="9" width="9.140625" style="2"/>
    <col min="10" max="10" width="37" style="2" bestFit="1" customWidth="1"/>
    <col min="11" max="11" width="11.28515625" style="2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2" t="s">
        <v>6</v>
      </c>
      <c r="B2" s="2" t="s">
        <v>7</v>
      </c>
      <c r="C2" s="2" t="s">
        <v>8</v>
      </c>
      <c r="D2" s="4">
        <v>1000</v>
      </c>
      <c r="E2" s="2">
        <v>30</v>
      </c>
      <c r="F2" s="2" t="s">
        <v>9</v>
      </c>
    </row>
    <row r="3" spans="1:11" x14ac:dyDescent="0.25">
      <c r="A3" s="3" t="s">
        <v>10</v>
      </c>
      <c r="B3" s="3" t="s">
        <v>11</v>
      </c>
      <c r="C3" s="3" t="s">
        <v>12</v>
      </c>
      <c r="D3" s="5">
        <v>80</v>
      </c>
      <c r="E3" s="3">
        <v>15</v>
      </c>
      <c r="F3" s="3" t="s">
        <v>13</v>
      </c>
    </row>
    <row r="4" spans="1:11" x14ac:dyDescent="0.25">
      <c r="A4" s="2" t="s">
        <v>14</v>
      </c>
      <c r="B4" s="2" t="s">
        <v>15</v>
      </c>
      <c r="C4" s="2" t="s">
        <v>16</v>
      </c>
      <c r="D4" s="4">
        <v>130</v>
      </c>
      <c r="E4" s="2">
        <v>40</v>
      </c>
      <c r="F4" s="2" t="s">
        <v>17</v>
      </c>
    </row>
    <row r="5" spans="1:11" x14ac:dyDescent="0.25">
      <c r="A5" s="3" t="s">
        <v>18</v>
      </c>
      <c r="B5" s="3" t="s">
        <v>19</v>
      </c>
      <c r="C5" s="3" t="s">
        <v>20</v>
      </c>
      <c r="D5" s="5">
        <v>900</v>
      </c>
      <c r="E5" s="3">
        <v>25</v>
      </c>
      <c r="F5" s="3" t="s">
        <v>9</v>
      </c>
    </row>
    <row r="6" spans="1:11" x14ac:dyDescent="0.25">
      <c r="A6" s="2" t="s">
        <v>21</v>
      </c>
      <c r="B6" s="2" t="s">
        <v>22</v>
      </c>
      <c r="C6" s="2" t="s">
        <v>23</v>
      </c>
      <c r="D6" s="4">
        <v>70</v>
      </c>
      <c r="E6" s="2">
        <v>20</v>
      </c>
      <c r="F6" s="2" t="s">
        <v>24</v>
      </c>
      <c r="K6" s="4"/>
    </row>
    <row r="7" spans="1:11" x14ac:dyDescent="0.25">
      <c r="A7" s="3" t="s">
        <v>25</v>
      </c>
      <c r="B7" s="3" t="s">
        <v>26</v>
      </c>
      <c r="C7" s="3" t="s">
        <v>27</v>
      </c>
      <c r="D7" s="5">
        <v>200</v>
      </c>
      <c r="E7" s="3">
        <v>45</v>
      </c>
      <c r="F7" s="3" t="s">
        <v>9</v>
      </c>
    </row>
    <row r="8" spans="1:11" x14ac:dyDescent="0.25">
      <c r="A8" s="2" t="s">
        <v>28</v>
      </c>
      <c r="B8" s="2" t="s">
        <v>29</v>
      </c>
      <c r="C8" s="2" t="s">
        <v>30</v>
      </c>
      <c r="D8" s="4">
        <v>30</v>
      </c>
      <c r="E8" s="2">
        <v>5</v>
      </c>
      <c r="F8" s="2" t="s">
        <v>13</v>
      </c>
    </row>
    <row r="9" spans="1:11" x14ac:dyDescent="0.25">
      <c r="A9" s="3" t="s">
        <v>31</v>
      </c>
      <c r="B9" s="3" t="s">
        <v>32</v>
      </c>
      <c r="C9" s="3" t="s">
        <v>33</v>
      </c>
      <c r="D9" s="5">
        <v>90</v>
      </c>
      <c r="E9" s="3">
        <v>35</v>
      </c>
      <c r="F9" s="3" t="s">
        <v>17</v>
      </c>
    </row>
    <row r="10" spans="1:11" x14ac:dyDescent="0.25">
      <c r="A10" s="2" t="s">
        <v>34</v>
      </c>
      <c r="B10" s="2" t="s">
        <v>35</v>
      </c>
      <c r="C10" s="2" t="s">
        <v>36</v>
      </c>
      <c r="D10" s="4">
        <v>500</v>
      </c>
      <c r="E10" s="2">
        <v>50</v>
      </c>
      <c r="F10" s="2" t="s">
        <v>9</v>
      </c>
    </row>
    <row r="11" spans="1:11" x14ac:dyDescent="0.25">
      <c r="A11" s="3" t="s">
        <v>37</v>
      </c>
      <c r="B11" s="3" t="s">
        <v>38</v>
      </c>
      <c r="C11" s="3" t="s">
        <v>39</v>
      </c>
      <c r="D11" s="5">
        <v>130</v>
      </c>
      <c r="E11" s="3">
        <v>10</v>
      </c>
      <c r="F11" s="3" t="s">
        <v>24</v>
      </c>
    </row>
    <row r="12" spans="1:11" x14ac:dyDescent="0.25">
      <c r="A12" s="2" t="s">
        <v>40</v>
      </c>
      <c r="B12" s="2" t="s">
        <v>7</v>
      </c>
      <c r="C12" s="2" t="s">
        <v>41</v>
      </c>
      <c r="D12" s="4">
        <v>950</v>
      </c>
      <c r="E12" s="2">
        <v>25</v>
      </c>
      <c r="F12" s="2" t="s">
        <v>9</v>
      </c>
    </row>
    <row r="13" spans="1:11" x14ac:dyDescent="0.25">
      <c r="A13" s="3" t="s">
        <v>42</v>
      </c>
      <c r="B13" s="3" t="s">
        <v>11</v>
      </c>
      <c r="C13" s="3" t="s">
        <v>30</v>
      </c>
      <c r="D13" s="5">
        <v>90</v>
      </c>
      <c r="E13" s="3">
        <v>40</v>
      </c>
      <c r="F13" s="3" t="s">
        <v>13</v>
      </c>
    </row>
    <row r="14" spans="1:11" x14ac:dyDescent="0.25">
      <c r="A14" s="2" t="s">
        <v>43</v>
      </c>
      <c r="B14" s="2" t="s">
        <v>15</v>
      </c>
      <c r="C14" s="2" t="s">
        <v>44</v>
      </c>
      <c r="D14" s="4">
        <v>120</v>
      </c>
      <c r="E14" s="2">
        <v>35</v>
      </c>
      <c r="F14" s="2" t="s">
        <v>17</v>
      </c>
    </row>
    <row r="15" spans="1:11" x14ac:dyDescent="0.25">
      <c r="A15" s="3" t="s">
        <v>45</v>
      </c>
      <c r="B15" s="3" t="s">
        <v>46</v>
      </c>
      <c r="C15" s="3" t="s">
        <v>47</v>
      </c>
      <c r="D15" s="5">
        <v>150</v>
      </c>
      <c r="E15" s="3">
        <v>15</v>
      </c>
      <c r="F15" s="3" t="s">
        <v>9</v>
      </c>
    </row>
    <row r="16" spans="1:11" x14ac:dyDescent="0.25">
      <c r="A16" s="2" t="s">
        <v>48</v>
      </c>
      <c r="B16" s="2" t="s">
        <v>26</v>
      </c>
      <c r="C16" s="2" t="s">
        <v>49</v>
      </c>
      <c r="D16" s="4">
        <v>250</v>
      </c>
      <c r="E16" s="2">
        <v>20</v>
      </c>
      <c r="F16" s="2" t="s">
        <v>9</v>
      </c>
    </row>
    <row r="17" spans="1:6" x14ac:dyDescent="0.25">
      <c r="A17" s="3" t="s">
        <v>50</v>
      </c>
      <c r="B17" s="3" t="s">
        <v>51</v>
      </c>
      <c r="C17" s="3" t="s">
        <v>52</v>
      </c>
      <c r="D17" s="5">
        <v>50</v>
      </c>
      <c r="E17" s="3">
        <v>35</v>
      </c>
      <c r="F17" s="3" t="s">
        <v>53</v>
      </c>
    </row>
    <row r="18" spans="1:6" x14ac:dyDescent="0.25">
      <c r="A18" s="2" t="s">
        <v>54</v>
      </c>
      <c r="B18" s="2" t="s">
        <v>46</v>
      </c>
      <c r="C18" s="2" t="s">
        <v>55</v>
      </c>
      <c r="D18" s="4">
        <v>160</v>
      </c>
      <c r="E18" s="2">
        <v>15</v>
      </c>
      <c r="F18" s="2" t="s">
        <v>9</v>
      </c>
    </row>
    <row r="19" spans="1:6" x14ac:dyDescent="0.25">
      <c r="A19" s="3" t="s">
        <v>56</v>
      </c>
      <c r="B19" s="3" t="s">
        <v>7</v>
      </c>
      <c r="C19" s="3" t="s">
        <v>57</v>
      </c>
      <c r="D19" s="5">
        <v>980</v>
      </c>
      <c r="E19" s="3">
        <v>10</v>
      </c>
      <c r="F19" s="3" t="s">
        <v>9</v>
      </c>
    </row>
    <row r="20" spans="1:6" x14ac:dyDescent="0.25">
      <c r="A20" s="2" t="s">
        <v>58</v>
      </c>
      <c r="B20" s="2" t="s">
        <v>59</v>
      </c>
      <c r="C20" s="2" t="s">
        <v>60</v>
      </c>
      <c r="D20" s="4">
        <v>150</v>
      </c>
      <c r="E20" s="2">
        <v>15</v>
      </c>
      <c r="F20" s="2" t="s">
        <v>13</v>
      </c>
    </row>
    <row r="21" spans="1:6" x14ac:dyDescent="0.25">
      <c r="A21" s="3" t="s">
        <v>61</v>
      </c>
      <c r="B21" s="3" t="s">
        <v>62</v>
      </c>
      <c r="C21" s="3" t="s">
        <v>63</v>
      </c>
      <c r="D21" s="5">
        <v>200</v>
      </c>
      <c r="E21" s="3">
        <v>10</v>
      </c>
      <c r="F21" s="3" t="s">
        <v>24</v>
      </c>
    </row>
    <row r="22" spans="1:6" x14ac:dyDescent="0.25">
      <c r="A22" s="2" t="s">
        <v>64</v>
      </c>
      <c r="B22" s="2" t="s">
        <v>65</v>
      </c>
      <c r="C22" s="2" t="s">
        <v>66</v>
      </c>
      <c r="D22" s="4">
        <v>700</v>
      </c>
      <c r="E22" s="2">
        <v>50</v>
      </c>
      <c r="F22" s="2" t="s">
        <v>9</v>
      </c>
    </row>
    <row r="23" spans="1:6" x14ac:dyDescent="0.25">
      <c r="A23" s="3" t="s">
        <v>67</v>
      </c>
      <c r="B23" s="3" t="s">
        <v>68</v>
      </c>
      <c r="C23" s="3" t="s">
        <v>69</v>
      </c>
      <c r="D23" s="5">
        <v>80</v>
      </c>
      <c r="E23" s="3">
        <v>20</v>
      </c>
      <c r="F23" s="3" t="s">
        <v>17</v>
      </c>
    </row>
    <row r="24" spans="1:6" x14ac:dyDescent="0.25">
      <c r="A24" s="2" t="s">
        <v>70</v>
      </c>
      <c r="B24" s="2" t="s">
        <v>71</v>
      </c>
      <c r="C24" s="2" t="s">
        <v>72</v>
      </c>
      <c r="D24" s="4">
        <v>150</v>
      </c>
      <c r="E24" s="2">
        <v>30</v>
      </c>
      <c r="F24" s="2" t="s">
        <v>9</v>
      </c>
    </row>
    <row r="25" spans="1:6" x14ac:dyDescent="0.25">
      <c r="A25" s="3" t="s">
        <v>50</v>
      </c>
      <c r="B25" s="3" t="s">
        <v>51</v>
      </c>
      <c r="C25" s="3" t="s">
        <v>52</v>
      </c>
      <c r="D25" s="5">
        <v>50</v>
      </c>
      <c r="E25" s="3">
        <v>35</v>
      </c>
      <c r="F25" s="3" t="s">
        <v>53</v>
      </c>
    </row>
    <row r="26" spans="1:6" x14ac:dyDescent="0.25">
      <c r="A26" s="2" t="s">
        <v>73</v>
      </c>
      <c r="B26" s="2" t="s">
        <v>19</v>
      </c>
      <c r="C26" s="2" t="s">
        <v>74</v>
      </c>
      <c r="D26" s="4">
        <v>800</v>
      </c>
      <c r="E26" s="2">
        <v>45</v>
      </c>
      <c r="F26" s="2" t="s">
        <v>9</v>
      </c>
    </row>
    <row r="27" spans="1:6" x14ac:dyDescent="0.25">
      <c r="A27" s="3" t="s">
        <v>75</v>
      </c>
      <c r="B27" s="3" t="s">
        <v>59</v>
      </c>
      <c r="C27" s="3" t="s">
        <v>76</v>
      </c>
      <c r="D27" s="5">
        <v>130</v>
      </c>
      <c r="E27" s="3">
        <v>25</v>
      </c>
      <c r="F27" s="3" t="s">
        <v>13</v>
      </c>
    </row>
    <row r="28" spans="1:6" x14ac:dyDescent="0.25">
      <c r="A28" s="2" t="s">
        <v>77</v>
      </c>
      <c r="B28" s="2" t="s">
        <v>32</v>
      </c>
      <c r="C28" s="2" t="s">
        <v>78</v>
      </c>
      <c r="D28" s="4">
        <v>400</v>
      </c>
      <c r="E28" s="2">
        <v>40</v>
      </c>
      <c r="F28" s="2" t="s">
        <v>17</v>
      </c>
    </row>
    <row r="29" spans="1:6" x14ac:dyDescent="0.25">
      <c r="A29" s="3" t="s">
        <v>48</v>
      </c>
      <c r="B29" s="3" t="s">
        <v>26</v>
      </c>
      <c r="C29" s="3" t="s">
        <v>49</v>
      </c>
      <c r="D29" s="5">
        <v>230</v>
      </c>
      <c r="E29" s="3">
        <v>20</v>
      </c>
      <c r="F29" s="3" t="s">
        <v>9</v>
      </c>
    </row>
    <row r="30" spans="1:6" x14ac:dyDescent="0.25">
      <c r="A30" s="2" t="s">
        <v>79</v>
      </c>
      <c r="B30" s="2" t="s">
        <v>80</v>
      </c>
      <c r="C30" s="2" t="s">
        <v>81</v>
      </c>
      <c r="D30" s="4">
        <v>60</v>
      </c>
      <c r="E30" s="2">
        <v>30</v>
      </c>
      <c r="F30" s="2" t="s">
        <v>13</v>
      </c>
    </row>
    <row r="31" spans="1:6" x14ac:dyDescent="0.25">
      <c r="A31" s="3" t="s">
        <v>82</v>
      </c>
      <c r="B31" s="3" t="s">
        <v>83</v>
      </c>
      <c r="C31" s="3" t="s">
        <v>84</v>
      </c>
      <c r="D31" s="5">
        <v>40</v>
      </c>
      <c r="E31" s="3">
        <v>10</v>
      </c>
      <c r="F31" s="3" t="s">
        <v>17</v>
      </c>
    </row>
    <row r="32" spans="1:6" x14ac:dyDescent="0.25">
      <c r="A32" s="2" t="s">
        <v>85</v>
      </c>
      <c r="B32" s="2" t="s">
        <v>71</v>
      </c>
      <c r="C32" s="2" t="s">
        <v>86</v>
      </c>
      <c r="D32" s="4">
        <v>130</v>
      </c>
      <c r="E32" s="2">
        <v>5</v>
      </c>
      <c r="F32" s="2" t="s">
        <v>9</v>
      </c>
    </row>
    <row r="33" spans="1:6" x14ac:dyDescent="0.25">
      <c r="A33" s="3" t="s">
        <v>87</v>
      </c>
      <c r="B33" s="3" t="s">
        <v>88</v>
      </c>
      <c r="C33" s="3" t="s">
        <v>89</v>
      </c>
      <c r="D33" s="5">
        <v>50</v>
      </c>
      <c r="E33" s="3">
        <v>50</v>
      </c>
      <c r="F33" s="3" t="s">
        <v>13</v>
      </c>
    </row>
    <row r="34" spans="1:6" x14ac:dyDescent="0.25">
      <c r="A34" s="2" t="s">
        <v>40</v>
      </c>
      <c r="B34" s="2" t="s">
        <v>7</v>
      </c>
      <c r="C34" s="2" t="s">
        <v>41</v>
      </c>
      <c r="D34" s="4">
        <v>950</v>
      </c>
      <c r="E34" s="2">
        <v>25</v>
      </c>
      <c r="F34" s="2" t="s">
        <v>9</v>
      </c>
    </row>
    <row r="35" spans="1:6" x14ac:dyDescent="0.25">
      <c r="A35" s="3" t="s">
        <v>90</v>
      </c>
      <c r="B35" s="3" t="s">
        <v>91</v>
      </c>
      <c r="C35" s="3" t="s">
        <v>92</v>
      </c>
      <c r="D35" s="5">
        <v>100</v>
      </c>
      <c r="E35" s="3">
        <v>20</v>
      </c>
      <c r="F35" s="3" t="s">
        <v>53</v>
      </c>
    </row>
    <row r="36" spans="1:6" x14ac:dyDescent="0.25">
      <c r="D3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53E7-9F9C-4B43-83AB-382DA494A0C4}">
  <dimension ref="A1:O37"/>
  <sheetViews>
    <sheetView tabSelected="1" workbookViewId="0">
      <selection activeCell="L42" sqref="L42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3" width="11.85546875" bestFit="1" customWidth="1"/>
    <col min="4" max="4" width="8.28515625" bestFit="1" customWidth="1"/>
    <col min="5" max="5" width="8.7109375" bestFit="1" customWidth="1"/>
    <col min="6" max="6" width="11.28515625" bestFit="1" customWidth="1"/>
    <col min="8" max="8" width="7" bestFit="1" customWidth="1"/>
    <col min="9" max="9" width="4.28515625" bestFit="1" customWidth="1"/>
    <col min="10" max="10" width="8" bestFit="1" customWidth="1"/>
    <col min="11" max="11" width="14" bestFit="1" customWidth="1"/>
    <col min="13" max="13" width="43.42578125" bestFit="1" customWidth="1"/>
    <col min="14" max="14" width="11.85546875" bestFit="1" customWidth="1"/>
    <col min="15" max="15" width="11.28515625" bestFit="1" customWidth="1"/>
  </cols>
  <sheetData>
    <row r="1" spans="1:15" ht="15.75" thickBot="1" x14ac:dyDescent="0.3"/>
    <row r="2" spans="1:15" ht="15.75" thickBot="1" x14ac:dyDescent="0.3">
      <c r="A2" s="38" t="s">
        <v>93</v>
      </c>
      <c r="B2" s="39"/>
      <c r="C2" s="39"/>
      <c r="D2" s="39"/>
      <c r="E2" s="39"/>
      <c r="F2" s="40"/>
      <c r="H2" s="41" t="s">
        <v>94</v>
      </c>
      <c r="I2" s="42"/>
      <c r="J2" s="42"/>
      <c r="K2" s="43"/>
      <c r="M2" s="36" t="s">
        <v>101</v>
      </c>
      <c r="N2" s="44"/>
      <c r="O2" s="37"/>
    </row>
    <row r="3" spans="1:15" x14ac:dyDescent="0.25">
      <c r="A3" s="8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9" t="s">
        <v>5</v>
      </c>
      <c r="H3" s="8" t="s">
        <v>95</v>
      </c>
      <c r="I3" s="6" t="s">
        <v>96</v>
      </c>
      <c r="J3" s="6" t="s">
        <v>97</v>
      </c>
      <c r="K3" s="9" t="s">
        <v>109</v>
      </c>
      <c r="M3" s="20" t="s">
        <v>98</v>
      </c>
      <c r="N3" s="25">
        <f>SUM(D4:D37)</f>
        <v>10100</v>
      </c>
      <c r="O3" s="26">
        <v>10100</v>
      </c>
    </row>
    <row r="4" spans="1:15" x14ac:dyDescent="0.25">
      <c r="A4" s="27" t="s">
        <v>6</v>
      </c>
      <c r="B4" s="28" t="s">
        <v>7</v>
      </c>
      <c r="C4" s="28" t="s">
        <v>8</v>
      </c>
      <c r="D4" s="28">
        <v>1000</v>
      </c>
      <c r="E4" s="28">
        <v>30</v>
      </c>
      <c r="F4" s="29" t="s">
        <v>9</v>
      </c>
      <c r="H4" s="10" t="str">
        <f t="shared" ref="H4:H37" si="0">MID(A4,4,3)</f>
        <v>JAN</v>
      </c>
      <c r="I4" s="7" t="str">
        <f t="shared" ref="I4:I37" si="1">LEFT(A4,2)</f>
        <v>28</v>
      </c>
      <c r="J4" s="7" t="str">
        <f t="shared" ref="J4:J37" si="2">RIGHT(A4,2)</f>
        <v>US</v>
      </c>
      <c r="K4" s="14" t="str">
        <f>IF(D4&gt;500,"High price","Standard Price")</f>
        <v>High price</v>
      </c>
      <c r="M4" s="13" t="s">
        <v>99</v>
      </c>
      <c r="N4" s="22">
        <f>COUNT(E4:E37)</f>
        <v>34</v>
      </c>
      <c r="O4" s="22">
        <v>34</v>
      </c>
    </row>
    <row r="5" spans="1:15" x14ac:dyDescent="0.25">
      <c r="A5" s="30" t="s">
        <v>10</v>
      </c>
      <c r="B5" s="31" t="s">
        <v>11</v>
      </c>
      <c r="C5" s="31" t="s">
        <v>12</v>
      </c>
      <c r="D5" s="31">
        <v>80</v>
      </c>
      <c r="E5" s="31">
        <v>15</v>
      </c>
      <c r="F5" s="32" t="s">
        <v>13</v>
      </c>
      <c r="H5" s="10" t="str">
        <f t="shared" si="0"/>
        <v>FEB</v>
      </c>
      <c r="I5" s="7" t="str">
        <f t="shared" si="1"/>
        <v>15</v>
      </c>
      <c r="J5" s="7" t="str">
        <f t="shared" si="2"/>
        <v>US</v>
      </c>
      <c r="K5" s="14" t="str">
        <f t="shared" ref="K5:K37" si="3">IF(D5&gt;500,"High price","Standard Price")</f>
        <v>Standard Price</v>
      </c>
      <c r="M5" s="13" t="s">
        <v>100</v>
      </c>
      <c r="N5" s="24">
        <f>AVERAGE(D4:D37)</f>
        <v>297.05882352941177</v>
      </c>
      <c r="O5" s="23">
        <v>297.05882352941177</v>
      </c>
    </row>
    <row r="6" spans="1:15" ht="15.75" thickBot="1" x14ac:dyDescent="0.3">
      <c r="A6" s="27" t="s">
        <v>14</v>
      </c>
      <c r="B6" s="28" t="s">
        <v>15</v>
      </c>
      <c r="C6" s="28" t="s">
        <v>16</v>
      </c>
      <c r="D6" s="28">
        <v>130</v>
      </c>
      <c r="E6" s="28">
        <v>40</v>
      </c>
      <c r="F6" s="29" t="s">
        <v>17</v>
      </c>
      <c r="H6" s="10" t="str">
        <f t="shared" si="0"/>
        <v>MAR</v>
      </c>
      <c r="I6" s="7" t="str">
        <f t="shared" si="1"/>
        <v>03</v>
      </c>
      <c r="J6" s="7" t="str">
        <f t="shared" si="2"/>
        <v>US</v>
      </c>
      <c r="K6" s="14" t="str">
        <f t="shared" si="3"/>
        <v>Standard Price</v>
      </c>
    </row>
    <row r="7" spans="1:15" ht="15.75" thickBot="1" x14ac:dyDescent="0.3">
      <c r="A7" s="30" t="s">
        <v>18</v>
      </c>
      <c r="B7" s="31" t="s">
        <v>19</v>
      </c>
      <c r="C7" s="31" t="s">
        <v>20</v>
      </c>
      <c r="D7" s="31">
        <v>900</v>
      </c>
      <c r="E7" s="31">
        <v>25</v>
      </c>
      <c r="F7" s="32" t="s">
        <v>9</v>
      </c>
      <c r="H7" s="10" t="str">
        <f t="shared" si="0"/>
        <v>APR</v>
      </c>
      <c r="I7" s="7" t="str">
        <f t="shared" si="1"/>
        <v>11</v>
      </c>
      <c r="J7" s="7" t="str">
        <f t="shared" si="2"/>
        <v>US</v>
      </c>
      <c r="K7" s="14" t="str">
        <f t="shared" si="3"/>
        <v>High price</v>
      </c>
      <c r="M7" s="16" t="s">
        <v>102</v>
      </c>
      <c r="N7" s="16" t="s">
        <v>104</v>
      </c>
    </row>
    <row r="8" spans="1:15" x14ac:dyDescent="0.25">
      <c r="A8" s="27" t="s">
        <v>21</v>
      </c>
      <c r="B8" s="28" t="s">
        <v>22</v>
      </c>
      <c r="C8" s="28" t="s">
        <v>23</v>
      </c>
      <c r="D8" s="28">
        <v>70</v>
      </c>
      <c r="E8" s="28">
        <v>20</v>
      </c>
      <c r="F8" s="29" t="s">
        <v>24</v>
      </c>
      <c r="H8" s="10" t="str">
        <f t="shared" si="0"/>
        <v>MAY</v>
      </c>
      <c r="I8" s="7" t="str">
        <f t="shared" si="1"/>
        <v>22</v>
      </c>
      <c r="J8" s="7" t="str">
        <f t="shared" si="2"/>
        <v>US</v>
      </c>
      <c r="K8" s="14" t="str">
        <f t="shared" si="3"/>
        <v>Standard Price</v>
      </c>
      <c r="M8" s="20" t="s">
        <v>9</v>
      </c>
      <c r="N8" s="21">
        <f>SUMIF(F4:F37,"Electronics",D4:D37)</f>
        <v>8050</v>
      </c>
    </row>
    <row r="9" spans="1:15" x14ac:dyDescent="0.25">
      <c r="A9" s="30" t="s">
        <v>25</v>
      </c>
      <c r="B9" s="31" t="s">
        <v>26</v>
      </c>
      <c r="C9" s="31" t="s">
        <v>27</v>
      </c>
      <c r="D9" s="31">
        <v>200</v>
      </c>
      <c r="E9" s="31">
        <v>45</v>
      </c>
      <c r="F9" s="32" t="s">
        <v>9</v>
      </c>
      <c r="H9" s="10" t="str">
        <f t="shared" si="0"/>
        <v>JUN</v>
      </c>
      <c r="I9" s="7" t="str">
        <f t="shared" si="1"/>
        <v>07</v>
      </c>
      <c r="J9" s="7" t="str">
        <f t="shared" si="2"/>
        <v>UK</v>
      </c>
      <c r="K9" s="14" t="str">
        <f t="shared" si="3"/>
        <v>Standard Price</v>
      </c>
      <c r="M9" s="13" t="s">
        <v>13</v>
      </c>
      <c r="N9" s="19">
        <f>SUMIF(F5:F38,"Fashion",D5:D38)</f>
        <v>590</v>
      </c>
    </row>
    <row r="10" spans="1:15" x14ac:dyDescent="0.25">
      <c r="A10" s="27" t="s">
        <v>28</v>
      </c>
      <c r="B10" s="28" t="s">
        <v>29</v>
      </c>
      <c r="C10" s="28" t="s">
        <v>30</v>
      </c>
      <c r="D10" s="28">
        <v>30</v>
      </c>
      <c r="E10" s="28">
        <v>5</v>
      </c>
      <c r="F10" s="29" t="s">
        <v>13</v>
      </c>
      <c r="H10" s="10" t="str">
        <f t="shared" si="0"/>
        <v>JUL</v>
      </c>
      <c r="I10" s="7" t="str">
        <f t="shared" si="1"/>
        <v>19</v>
      </c>
      <c r="J10" s="7" t="str">
        <f t="shared" si="2"/>
        <v>UK</v>
      </c>
      <c r="K10" s="14" t="str">
        <f t="shared" si="3"/>
        <v>Standard Price</v>
      </c>
      <c r="M10" s="13" t="s">
        <v>17</v>
      </c>
      <c r="N10" s="19">
        <f>SUMIF(F6:F39,"Kitchen",D6:D39)</f>
        <v>860</v>
      </c>
    </row>
    <row r="11" spans="1:15" x14ac:dyDescent="0.25">
      <c r="A11" s="30" t="s">
        <v>31</v>
      </c>
      <c r="B11" s="31" t="s">
        <v>32</v>
      </c>
      <c r="C11" s="31" t="s">
        <v>33</v>
      </c>
      <c r="D11" s="31">
        <v>90</v>
      </c>
      <c r="E11" s="31">
        <v>35</v>
      </c>
      <c r="F11" s="32" t="s">
        <v>17</v>
      </c>
      <c r="H11" s="10" t="str">
        <f t="shared" si="0"/>
        <v>AUG</v>
      </c>
      <c r="I11" s="7" t="str">
        <f t="shared" si="1"/>
        <v>23</v>
      </c>
      <c r="J11" s="7" t="str">
        <f t="shared" si="2"/>
        <v>UK</v>
      </c>
      <c r="K11" s="14" t="str">
        <f t="shared" si="3"/>
        <v>Standard Price</v>
      </c>
      <c r="M11" s="13" t="s">
        <v>24</v>
      </c>
      <c r="N11" s="19">
        <f>SUMIF(F7:F40,"Outdoor",D7:D40)</f>
        <v>400</v>
      </c>
    </row>
    <row r="12" spans="1:15" x14ac:dyDescent="0.25">
      <c r="A12" s="27" t="s">
        <v>34</v>
      </c>
      <c r="B12" s="28" t="s">
        <v>35</v>
      </c>
      <c r="C12" s="28" t="s">
        <v>36</v>
      </c>
      <c r="D12" s="28">
        <v>500</v>
      </c>
      <c r="E12" s="28">
        <v>50</v>
      </c>
      <c r="F12" s="29" t="s">
        <v>9</v>
      </c>
      <c r="H12" s="10" t="str">
        <f t="shared" si="0"/>
        <v>SEP</v>
      </c>
      <c r="I12" s="7" t="str">
        <f t="shared" si="1"/>
        <v>05</v>
      </c>
      <c r="J12" s="7" t="str">
        <f t="shared" si="2"/>
        <v>UK</v>
      </c>
      <c r="K12" s="14" t="str">
        <f t="shared" si="3"/>
        <v>Standard Price</v>
      </c>
      <c r="M12" s="13" t="s">
        <v>53</v>
      </c>
      <c r="N12" s="19">
        <f>SUMIF(F8:F41,"Accessories",D8:D41)</f>
        <v>200</v>
      </c>
    </row>
    <row r="13" spans="1:15" x14ac:dyDescent="0.25">
      <c r="A13" s="30" t="s">
        <v>37</v>
      </c>
      <c r="B13" s="31" t="s">
        <v>38</v>
      </c>
      <c r="C13" s="31" t="s">
        <v>39</v>
      </c>
      <c r="D13" s="31">
        <v>130</v>
      </c>
      <c r="E13" s="31">
        <v>10</v>
      </c>
      <c r="F13" s="32" t="s">
        <v>24</v>
      </c>
      <c r="H13" s="10" t="str">
        <f t="shared" si="0"/>
        <v>OCT</v>
      </c>
      <c r="I13" s="7" t="str">
        <f t="shared" si="1"/>
        <v>14</v>
      </c>
      <c r="J13" s="7" t="str">
        <f t="shared" si="2"/>
        <v>UK</v>
      </c>
      <c r="K13" s="14" t="str">
        <f t="shared" si="3"/>
        <v>Standard Price</v>
      </c>
      <c r="M13" s="13" t="s">
        <v>103</v>
      </c>
      <c r="N13" s="19">
        <f>SUM(N8:N12)</f>
        <v>10100</v>
      </c>
    </row>
    <row r="14" spans="1:15" ht="15.75" thickBot="1" x14ac:dyDescent="0.3">
      <c r="A14" s="27" t="s">
        <v>40</v>
      </c>
      <c r="B14" s="28" t="s">
        <v>7</v>
      </c>
      <c r="C14" s="28" t="s">
        <v>41</v>
      </c>
      <c r="D14" s="28">
        <v>950</v>
      </c>
      <c r="E14" s="28">
        <v>25</v>
      </c>
      <c r="F14" s="29" t="s">
        <v>9</v>
      </c>
      <c r="H14" s="10" t="str">
        <f t="shared" si="0"/>
        <v>JUN</v>
      </c>
      <c r="I14" s="7" t="str">
        <f t="shared" si="1"/>
        <v>17</v>
      </c>
      <c r="J14" s="7" t="str">
        <f t="shared" si="2"/>
        <v>IN</v>
      </c>
      <c r="K14" s="14" t="str">
        <f t="shared" si="3"/>
        <v>High price</v>
      </c>
    </row>
    <row r="15" spans="1:15" ht="15.75" thickBot="1" x14ac:dyDescent="0.3">
      <c r="A15" s="30" t="s">
        <v>42</v>
      </c>
      <c r="B15" s="31" t="s">
        <v>11</v>
      </c>
      <c r="C15" s="31" t="s">
        <v>30</v>
      </c>
      <c r="D15" s="31">
        <v>90</v>
      </c>
      <c r="E15" s="31">
        <v>40</v>
      </c>
      <c r="F15" s="32" t="s">
        <v>13</v>
      </c>
      <c r="H15" s="10" t="str">
        <f t="shared" si="0"/>
        <v>NOV</v>
      </c>
      <c r="I15" s="7" t="str">
        <f t="shared" si="1"/>
        <v>25</v>
      </c>
      <c r="J15" s="7" t="str">
        <f t="shared" si="2"/>
        <v>AU</v>
      </c>
      <c r="K15" s="14" t="str">
        <f t="shared" si="3"/>
        <v>Standard Price</v>
      </c>
      <c r="M15" s="17" t="s">
        <v>105</v>
      </c>
    </row>
    <row r="16" spans="1:15" x14ac:dyDescent="0.25">
      <c r="A16" s="27" t="s">
        <v>43</v>
      </c>
      <c r="B16" s="28" t="s">
        <v>15</v>
      </c>
      <c r="C16" s="28" t="s">
        <v>44</v>
      </c>
      <c r="D16" s="28">
        <v>120</v>
      </c>
      <c r="E16" s="28">
        <v>35</v>
      </c>
      <c r="F16" s="29" t="s">
        <v>17</v>
      </c>
      <c r="H16" s="10" t="str">
        <f t="shared" si="0"/>
        <v>DEC</v>
      </c>
      <c r="I16" s="7" t="str">
        <f t="shared" si="1"/>
        <v>08</v>
      </c>
      <c r="J16" s="7" t="str">
        <f t="shared" si="2"/>
        <v>DE</v>
      </c>
      <c r="K16" s="14" t="str">
        <f t="shared" si="3"/>
        <v>Standard Price</v>
      </c>
      <c r="M16" s="18">
        <f>COUNTIF(D4:D37,"&lt;100")</f>
        <v>11</v>
      </c>
    </row>
    <row r="17" spans="1:14" ht="15.75" thickBot="1" x14ac:dyDescent="0.3">
      <c r="A17" s="30" t="s">
        <v>45</v>
      </c>
      <c r="B17" s="31" t="s">
        <v>46</v>
      </c>
      <c r="C17" s="31" t="s">
        <v>47</v>
      </c>
      <c r="D17" s="31">
        <v>150</v>
      </c>
      <c r="E17" s="31">
        <v>15</v>
      </c>
      <c r="F17" s="32" t="s">
        <v>9</v>
      </c>
      <c r="H17" s="10" t="str">
        <f t="shared" si="0"/>
        <v>FEB</v>
      </c>
      <c r="I17" s="7" t="str">
        <f t="shared" si="1"/>
        <v>18</v>
      </c>
      <c r="J17" s="7" t="str">
        <f t="shared" si="2"/>
        <v>CA</v>
      </c>
      <c r="K17" s="14" t="str">
        <f t="shared" si="3"/>
        <v>Standard Price</v>
      </c>
    </row>
    <row r="18" spans="1:14" ht="15.75" thickBot="1" x14ac:dyDescent="0.3">
      <c r="A18" s="27" t="s">
        <v>48</v>
      </c>
      <c r="B18" s="28" t="s">
        <v>26</v>
      </c>
      <c r="C18" s="28" t="s">
        <v>49</v>
      </c>
      <c r="D18" s="28">
        <v>250</v>
      </c>
      <c r="E18" s="28">
        <v>20</v>
      </c>
      <c r="F18" s="29" t="s">
        <v>9</v>
      </c>
      <c r="H18" s="10" t="str">
        <f t="shared" si="0"/>
        <v>APR</v>
      </c>
      <c r="I18" s="7" t="str">
        <f t="shared" si="1"/>
        <v>16</v>
      </c>
      <c r="J18" s="7" t="str">
        <f t="shared" si="2"/>
        <v>ES</v>
      </c>
      <c r="K18" s="14" t="str">
        <f t="shared" si="3"/>
        <v>Standard Price</v>
      </c>
      <c r="M18" s="36" t="s">
        <v>108</v>
      </c>
      <c r="N18" s="37"/>
    </row>
    <row r="19" spans="1:14" x14ac:dyDescent="0.25">
      <c r="A19" s="30" t="s">
        <v>50</v>
      </c>
      <c r="B19" s="31" t="s">
        <v>51</v>
      </c>
      <c r="C19" s="31" t="s">
        <v>52</v>
      </c>
      <c r="D19" s="31">
        <v>50</v>
      </c>
      <c r="E19" s="31">
        <v>35</v>
      </c>
      <c r="F19" s="32" t="s">
        <v>53</v>
      </c>
      <c r="H19" s="10" t="str">
        <f t="shared" si="0"/>
        <v>AUG</v>
      </c>
      <c r="I19" s="7" t="str">
        <f t="shared" si="1"/>
        <v>21</v>
      </c>
      <c r="J19" s="7" t="str">
        <f t="shared" si="2"/>
        <v>CA</v>
      </c>
      <c r="K19" s="14" t="str">
        <f t="shared" si="3"/>
        <v>Standard Price</v>
      </c>
      <c r="M19" s="20" t="s">
        <v>106</v>
      </c>
      <c r="N19" s="21">
        <f>MIN(D4:D37)</f>
        <v>30</v>
      </c>
    </row>
    <row r="20" spans="1:14" x14ac:dyDescent="0.25">
      <c r="A20" s="27" t="s">
        <v>54</v>
      </c>
      <c r="B20" s="28" t="s">
        <v>46</v>
      </c>
      <c r="C20" s="28" t="s">
        <v>55</v>
      </c>
      <c r="D20" s="28">
        <v>160</v>
      </c>
      <c r="E20" s="28">
        <v>15</v>
      </c>
      <c r="F20" s="29" t="s">
        <v>9</v>
      </c>
      <c r="H20" s="10" t="str">
        <f t="shared" si="0"/>
        <v>AUG</v>
      </c>
      <c r="I20" s="7" t="str">
        <f t="shared" si="1"/>
        <v>20</v>
      </c>
      <c r="J20" s="7" t="str">
        <f t="shared" si="2"/>
        <v>CN</v>
      </c>
      <c r="K20" s="14" t="str">
        <f t="shared" si="3"/>
        <v>Standard Price</v>
      </c>
      <c r="M20" s="13" t="s">
        <v>107</v>
      </c>
      <c r="N20" s="19">
        <f>MAX(D4:D37)</f>
        <v>1000</v>
      </c>
    </row>
    <row r="21" spans="1:14" x14ac:dyDescent="0.25">
      <c r="A21" s="30" t="s">
        <v>56</v>
      </c>
      <c r="B21" s="31" t="s">
        <v>7</v>
      </c>
      <c r="C21" s="31" t="s">
        <v>57</v>
      </c>
      <c r="D21" s="31">
        <v>980</v>
      </c>
      <c r="E21" s="31">
        <v>10</v>
      </c>
      <c r="F21" s="32" t="s">
        <v>9</v>
      </c>
      <c r="H21" s="10" t="str">
        <f t="shared" si="0"/>
        <v>JAN</v>
      </c>
      <c r="I21" s="7" t="str">
        <f t="shared" si="1"/>
        <v>27</v>
      </c>
      <c r="J21" s="7" t="str">
        <f t="shared" si="2"/>
        <v>IT</v>
      </c>
      <c r="K21" s="14" t="str">
        <f t="shared" si="3"/>
        <v>High price</v>
      </c>
    </row>
    <row r="22" spans="1:14" x14ac:dyDescent="0.25">
      <c r="A22" s="27" t="s">
        <v>58</v>
      </c>
      <c r="B22" s="28" t="s">
        <v>59</v>
      </c>
      <c r="C22" s="28" t="s">
        <v>60</v>
      </c>
      <c r="D22" s="28">
        <v>150</v>
      </c>
      <c r="E22" s="28">
        <v>15</v>
      </c>
      <c r="F22" s="29" t="s">
        <v>13</v>
      </c>
      <c r="H22" s="10" t="str">
        <f t="shared" si="0"/>
        <v>MAR</v>
      </c>
      <c r="I22" s="7" t="str">
        <f t="shared" si="1"/>
        <v>01</v>
      </c>
      <c r="J22" s="7" t="str">
        <f t="shared" si="2"/>
        <v>UK</v>
      </c>
      <c r="K22" s="14" t="str">
        <f t="shared" si="3"/>
        <v>Standard Price</v>
      </c>
    </row>
    <row r="23" spans="1:14" x14ac:dyDescent="0.25">
      <c r="A23" s="30" t="s">
        <v>61</v>
      </c>
      <c r="B23" s="31" t="s">
        <v>62</v>
      </c>
      <c r="C23" s="31" t="s">
        <v>63</v>
      </c>
      <c r="D23" s="31">
        <v>200</v>
      </c>
      <c r="E23" s="31">
        <v>10</v>
      </c>
      <c r="F23" s="32" t="s">
        <v>24</v>
      </c>
      <c r="H23" s="10" t="str">
        <f t="shared" si="0"/>
        <v>AUG</v>
      </c>
      <c r="I23" s="7" t="str">
        <f t="shared" si="1"/>
        <v>14</v>
      </c>
      <c r="J23" s="7" t="str">
        <f t="shared" si="2"/>
        <v>US</v>
      </c>
      <c r="K23" s="14" t="str">
        <f t="shared" si="3"/>
        <v>Standard Price</v>
      </c>
    </row>
    <row r="24" spans="1:14" x14ac:dyDescent="0.25">
      <c r="A24" s="27" t="s">
        <v>64</v>
      </c>
      <c r="B24" s="28" t="s">
        <v>65</v>
      </c>
      <c r="C24" s="28" t="s">
        <v>66</v>
      </c>
      <c r="D24" s="28">
        <v>700</v>
      </c>
      <c r="E24" s="28">
        <v>50</v>
      </c>
      <c r="F24" s="29" t="s">
        <v>9</v>
      </c>
      <c r="H24" s="10" t="str">
        <f t="shared" si="0"/>
        <v>MAY</v>
      </c>
      <c r="I24" s="7" t="str">
        <f t="shared" si="1"/>
        <v>14</v>
      </c>
      <c r="J24" s="7" t="str">
        <f t="shared" si="2"/>
        <v>RU</v>
      </c>
      <c r="K24" s="14" t="str">
        <f t="shared" si="3"/>
        <v>High price</v>
      </c>
    </row>
    <row r="25" spans="1:14" x14ac:dyDescent="0.25">
      <c r="A25" s="30" t="s">
        <v>67</v>
      </c>
      <c r="B25" s="31" t="s">
        <v>68</v>
      </c>
      <c r="C25" s="31" t="s">
        <v>69</v>
      </c>
      <c r="D25" s="31">
        <v>80</v>
      </c>
      <c r="E25" s="31">
        <v>20</v>
      </c>
      <c r="F25" s="32" t="s">
        <v>17</v>
      </c>
      <c r="H25" s="10" t="str">
        <f t="shared" si="0"/>
        <v>JAN</v>
      </c>
      <c r="I25" s="7" t="str">
        <f t="shared" si="1"/>
        <v>09</v>
      </c>
      <c r="J25" s="7" t="str">
        <f t="shared" si="2"/>
        <v>CA</v>
      </c>
      <c r="K25" s="14" t="str">
        <f t="shared" si="3"/>
        <v>Standard Price</v>
      </c>
    </row>
    <row r="26" spans="1:14" x14ac:dyDescent="0.25">
      <c r="A26" s="27" t="s">
        <v>70</v>
      </c>
      <c r="B26" s="28" t="s">
        <v>71</v>
      </c>
      <c r="C26" s="28" t="s">
        <v>72</v>
      </c>
      <c r="D26" s="28">
        <v>150</v>
      </c>
      <c r="E26" s="28">
        <v>30</v>
      </c>
      <c r="F26" s="29" t="s">
        <v>9</v>
      </c>
      <c r="H26" s="10" t="str">
        <f t="shared" si="0"/>
        <v>JUL</v>
      </c>
      <c r="I26" s="7" t="str">
        <f t="shared" si="1"/>
        <v>19</v>
      </c>
      <c r="J26" s="7" t="str">
        <f t="shared" si="2"/>
        <v>BR</v>
      </c>
      <c r="K26" s="14" t="str">
        <f t="shared" si="3"/>
        <v>Standard Price</v>
      </c>
    </row>
    <row r="27" spans="1:14" x14ac:dyDescent="0.25">
      <c r="A27" s="30" t="s">
        <v>50</v>
      </c>
      <c r="B27" s="31" t="s">
        <v>51</v>
      </c>
      <c r="C27" s="31" t="s">
        <v>52</v>
      </c>
      <c r="D27" s="31">
        <v>50</v>
      </c>
      <c r="E27" s="31">
        <v>35</v>
      </c>
      <c r="F27" s="32" t="s">
        <v>53</v>
      </c>
      <c r="H27" s="10" t="str">
        <f t="shared" si="0"/>
        <v>AUG</v>
      </c>
      <c r="I27" s="7" t="str">
        <f t="shared" si="1"/>
        <v>21</v>
      </c>
      <c r="J27" s="7" t="str">
        <f t="shared" si="2"/>
        <v>CA</v>
      </c>
      <c r="K27" s="14" t="str">
        <f t="shared" si="3"/>
        <v>Standard Price</v>
      </c>
    </row>
    <row r="28" spans="1:14" x14ac:dyDescent="0.25">
      <c r="A28" s="27" t="s">
        <v>73</v>
      </c>
      <c r="B28" s="28" t="s">
        <v>19</v>
      </c>
      <c r="C28" s="28" t="s">
        <v>74</v>
      </c>
      <c r="D28" s="28">
        <v>800</v>
      </c>
      <c r="E28" s="28">
        <v>45</v>
      </c>
      <c r="F28" s="29" t="s">
        <v>9</v>
      </c>
      <c r="H28" s="10" t="str">
        <f t="shared" si="0"/>
        <v>SEP</v>
      </c>
      <c r="I28" s="7" t="str">
        <f t="shared" si="1"/>
        <v>29</v>
      </c>
      <c r="J28" s="7" t="str">
        <f t="shared" si="2"/>
        <v>CA</v>
      </c>
      <c r="K28" s="14" t="str">
        <f t="shared" si="3"/>
        <v>High price</v>
      </c>
    </row>
    <row r="29" spans="1:14" x14ac:dyDescent="0.25">
      <c r="A29" s="30" t="s">
        <v>75</v>
      </c>
      <c r="B29" s="31" t="s">
        <v>59</v>
      </c>
      <c r="C29" s="31" t="s">
        <v>76</v>
      </c>
      <c r="D29" s="31">
        <v>130</v>
      </c>
      <c r="E29" s="31">
        <v>25</v>
      </c>
      <c r="F29" s="32" t="s">
        <v>13</v>
      </c>
      <c r="H29" s="10" t="str">
        <f t="shared" si="0"/>
        <v>JUN</v>
      </c>
      <c r="I29" s="7" t="str">
        <f t="shared" si="1"/>
        <v>03</v>
      </c>
      <c r="J29" s="7" t="str">
        <f t="shared" si="2"/>
        <v>CA</v>
      </c>
      <c r="K29" s="14" t="str">
        <f t="shared" si="3"/>
        <v>Standard Price</v>
      </c>
    </row>
    <row r="30" spans="1:14" x14ac:dyDescent="0.25">
      <c r="A30" s="27" t="s">
        <v>77</v>
      </c>
      <c r="B30" s="28" t="s">
        <v>32</v>
      </c>
      <c r="C30" s="28" t="s">
        <v>78</v>
      </c>
      <c r="D30" s="28">
        <v>400</v>
      </c>
      <c r="E30" s="28">
        <v>40</v>
      </c>
      <c r="F30" s="29" t="s">
        <v>17</v>
      </c>
      <c r="H30" s="10" t="str">
        <f t="shared" si="0"/>
        <v>JUL</v>
      </c>
      <c r="I30" s="7" t="str">
        <f t="shared" si="1"/>
        <v>11</v>
      </c>
      <c r="J30" s="7" t="str">
        <f t="shared" si="2"/>
        <v>CA</v>
      </c>
      <c r="K30" s="14" t="str">
        <f t="shared" si="3"/>
        <v>Standard Price</v>
      </c>
    </row>
    <row r="31" spans="1:14" x14ac:dyDescent="0.25">
      <c r="A31" s="30" t="s">
        <v>48</v>
      </c>
      <c r="B31" s="31" t="s">
        <v>26</v>
      </c>
      <c r="C31" s="31" t="s">
        <v>49</v>
      </c>
      <c r="D31" s="31">
        <v>230</v>
      </c>
      <c r="E31" s="31">
        <v>20</v>
      </c>
      <c r="F31" s="32" t="s">
        <v>9</v>
      </c>
      <c r="H31" s="10" t="str">
        <f t="shared" si="0"/>
        <v>APR</v>
      </c>
      <c r="I31" s="7" t="str">
        <f t="shared" si="1"/>
        <v>16</v>
      </c>
      <c r="J31" s="7" t="str">
        <f t="shared" si="2"/>
        <v>ES</v>
      </c>
      <c r="K31" s="14" t="str">
        <f t="shared" si="3"/>
        <v>Standard Price</v>
      </c>
    </row>
    <row r="32" spans="1:14" x14ac:dyDescent="0.25">
      <c r="A32" s="27" t="s">
        <v>79</v>
      </c>
      <c r="B32" s="28" t="s">
        <v>80</v>
      </c>
      <c r="C32" s="28" t="s">
        <v>81</v>
      </c>
      <c r="D32" s="28">
        <v>60</v>
      </c>
      <c r="E32" s="28">
        <v>30</v>
      </c>
      <c r="F32" s="29" t="s">
        <v>13</v>
      </c>
      <c r="H32" s="10" t="str">
        <f t="shared" si="0"/>
        <v>MAR</v>
      </c>
      <c r="I32" s="7" t="str">
        <f t="shared" si="1"/>
        <v>07</v>
      </c>
      <c r="J32" s="7" t="str">
        <f t="shared" si="2"/>
        <v>CA</v>
      </c>
      <c r="K32" s="14" t="str">
        <f t="shared" si="3"/>
        <v>Standard Price</v>
      </c>
    </row>
    <row r="33" spans="1:11" x14ac:dyDescent="0.25">
      <c r="A33" s="30" t="s">
        <v>82</v>
      </c>
      <c r="B33" s="31" t="s">
        <v>83</v>
      </c>
      <c r="C33" s="31" t="s">
        <v>84</v>
      </c>
      <c r="D33" s="31">
        <v>40</v>
      </c>
      <c r="E33" s="31">
        <v>10</v>
      </c>
      <c r="F33" s="32" t="s">
        <v>17</v>
      </c>
      <c r="H33" s="10" t="str">
        <f t="shared" si="0"/>
        <v>APR</v>
      </c>
      <c r="I33" s="7" t="str">
        <f t="shared" si="1"/>
        <v>13</v>
      </c>
      <c r="J33" s="7" t="str">
        <f t="shared" si="2"/>
        <v>CA</v>
      </c>
      <c r="K33" s="14" t="str">
        <f t="shared" si="3"/>
        <v>Standard Price</v>
      </c>
    </row>
    <row r="34" spans="1:11" x14ac:dyDescent="0.25">
      <c r="A34" s="27" t="s">
        <v>85</v>
      </c>
      <c r="B34" s="28" t="s">
        <v>71</v>
      </c>
      <c r="C34" s="28" t="s">
        <v>86</v>
      </c>
      <c r="D34" s="28">
        <v>130</v>
      </c>
      <c r="E34" s="28">
        <v>5</v>
      </c>
      <c r="F34" s="29" t="s">
        <v>9</v>
      </c>
      <c r="H34" s="10" t="str">
        <f t="shared" si="0"/>
        <v>MAY</v>
      </c>
      <c r="I34" s="7" t="str">
        <f t="shared" si="1"/>
        <v>24</v>
      </c>
      <c r="J34" s="7" t="str">
        <f t="shared" si="2"/>
        <v>CA</v>
      </c>
      <c r="K34" s="14" t="str">
        <f t="shared" si="3"/>
        <v>Standard Price</v>
      </c>
    </row>
    <row r="35" spans="1:11" x14ac:dyDescent="0.25">
      <c r="A35" s="30" t="s">
        <v>87</v>
      </c>
      <c r="B35" s="31" t="s">
        <v>88</v>
      </c>
      <c r="C35" s="31" t="s">
        <v>89</v>
      </c>
      <c r="D35" s="31">
        <v>50</v>
      </c>
      <c r="E35" s="31">
        <v>50</v>
      </c>
      <c r="F35" s="32" t="s">
        <v>13</v>
      </c>
      <c r="H35" s="10" t="str">
        <f t="shared" si="0"/>
        <v>DEC</v>
      </c>
      <c r="I35" s="7" t="str">
        <f t="shared" si="1"/>
        <v>02</v>
      </c>
      <c r="J35" s="7" t="str">
        <f t="shared" si="2"/>
        <v>CA</v>
      </c>
      <c r="K35" s="14" t="str">
        <f t="shared" si="3"/>
        <v>Standard Price</v>
      </c>
    </row>
    <row r="36" spans="1:11" x14ac:dyDescent="0.25">
      <c r="A36" s="27" t="s">
        <v>40</v>
      </c>
      <c r="B36" s="28" t="s">
        <v>7</v>
      </c>
      <c r="C36" s="28" t="s">
        <v>41</v>
      </c>
      <c r="D36" s="28">
        <v>950</v>
      </c>
      <c r="E36" s="28">
        <v>25</v>
      </c>
      <c r="F36" s="29" t="s">
        <v>9</v>
      </c>
      <c r="H36" s="10" t="str">
        <f t="shared" si="0"/>
        <v>JUN</v>
      </c>
      <c r="I36" s="7" t="str">
        <f t="shared" si="1"/>
        <v>17</v>
      </c>
      <c r="J36" s="7" t="str">
        <f t="shared" si="2"/>
        <v>IN</v>
      </c>
      <c r="K36" s="14" t="str">
        <f t="shared" si="3"/>
        <v>High price</v>
      </c>
    </row>
    <row r="37" spans="1:11" ht="15.75" thickBot="1" x14ac:dyDescent="0.3">
      <c r="A37" s="33" t="s">
        <v>90</v>
      </c>
      <c r="B37" s="34" t="s">
        <v>91</v>
      </c>
      <c r="C37" s="34" t="s">
        <v>92</v>
      </c>
      <c r="D37" s="34">
        <v>100</v>
      </c>
      <c r="E37" s="34">
        <v>20</v>
      </c>
      <c r="F37" s="35" t="s">
        <v>53</v>
      </c>
      <c r="H37" s="11" t="str">
        <f t="shared" si="0"/>
        <v>JUL</v>
      </c>
      <c r="I37" s="12" t="str">
        <f t="shared" si="1"/>
        <v>09</v>
      </c>
      <c r="J37" s="12" t="str">
        <f t="shared" si="2"/>
        <v>FR</v>
      </c>
      <c r="K37" s="15" t="str">
        <f t="shared" si="3"/>
        <v>Standard Price</v>
      </c>
    </row>
  </sheetData>
  <mergeCells count="4">
    <mergeCell ref="M18:N18"/>
    <mergeCell ref="A2:F2"/>
    <mergeCell ref="H2:K2"/>
    <mergeCell ref="M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Finilized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Parkavi Thirumal</dc:creator>
  <cp:lastModifiedBy>Parkavi Thirumal</cp:lastModifiedBy>
  <dcterms:created xsi:type="dcterms:W3CDTF">2026-09-10T17:03:12Z</dcterms:created>
  <dcterms:modified xsi:type="dcterms:W3CDTF">2026-09-16T11:19:47Z</dcterms:modified>
</cp:coreProperties>
</file>